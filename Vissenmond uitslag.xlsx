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ergoit-my.sharepoint.com/personal/ag_gerritsen_emergoit_nl/Documents/Bijen/@Hoornaar/Koldo Balesko/"/>
    </mc:Choice>
  </mc:AlternateContent>
  <xr:revisionPtr revIDLastSave="64" documentId="8_{8FC4BF7B-AB76-4E7B-BB6C-91CADCE7F949}" xr6:coauthVersionLast="47" xr6:coauthVersionMax="47" xr10:uidLastSave="{ED951822-9DC3-4DD7-9BA6-9ECF50A1BCE7}"/>
  <bookViews>
    <workbookView xWindow="-108" yWindow="-108" windowWidth="20376" windowHeight="12096" xr2:uid="{D90D0C77-CAB6-4E6C-88FB-C44524A635F8}"/>
  </bookViews>
  <sheets>
    <sheet name="Mond" sheetId="1" r:id="rId1"/>
    <sheet name="Cirk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27" i="2" l="1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B141" i="2"/>
  <c r="C141" i="2"/>
  <c r="B142" i="2"/>
  <c r="C142" i="2"/>
  <c r="B143" i="2"/>
  <c r="C143" i="2"/>
  <c r="B144" i="2"/>
  <c r="C144" i="2"/>
  <c r="B145" i="2"/>
  <c r="C145" i="2"/>
  <c r="B146" i="2"/>
  <c r="C146" i="2"/>
  <c r="B147" i="2"/>
  <c r="C147" i="2"/>
  <c r="B148" i="2"/>
  <c r="C148" i="2"/>
  <c r="B149" i="2"/>
  <c r="C149" i="2"/>
  <c r="B150" i="2"/>
  <c r="C150" i="2"/>
  <c r="B151" i="2"/>
  <c r="C151" i="2"/>
  <c r="B152" i="2"/>
  <c r="C152" i="2"/>
  <c r="B153" i="2"/>
  <c r="C153" i="2"/>
  <c r="B154" i="2"/>
  <c r="C154" i="2"/>
  <c r="B155" i="2"/>
  <c r="C155" i="2"/>
  <c r="B156" i="2"/>
  <c r="C156" i="2"/>
  <c r="B157" i="2"/>
  <c r="C157" i="2"/>
  <c r="B158" i="2"/>
  <c r="C158" i="2"/>
  <c r="B159" i="2"/>
  <c r="C159" i="2"/>
  <c r="B160" i="2"/>
  <c r="C160" i="2"/>
  <c r="B161" i="2"/>
  <c r="C161" i="2"/>
  <c r="B162" i="2"/>
  <c r="C162" i="2"/>
  <c r="B163" i="2"/>
  <c r="C163" i="2"/>
  <c r="B164" i="2"/>
  <c r="C164" i="2"/>
  <c r="B165" i="2"/>
  <c r="C165" i="2"/>
  <c r="B166" i="2"/>
  <c r="C166" i="2"/>
  <c r="B167" i="2"/>
  <c r="C167" i="2"/>
  <c r="B168" i="2"/>
  <c r="C168" i="2"/>
  <c r="B169" i="2"/>
  <c r="C169" i="2"/>
  <c r="B170" i="2"/>
  <c r="C170" i="2"/>
  <c r="B171" i="2"/>
  <c r="C171" i="2"/>
  <c r="B172" i="2"/>
  <c r="C172" i="2"/>
  <c r="B173" i="2"/>
  <c r="C173" i="2"/>
  <c r="B174" i="2"/>
  <c r="C174" i="2"/>
  <c r="B175" i="2"/>
  <c r="C175" i="2"/>
  <c r="B176" i="2"/>
  <c r="C176" i="2"/>
  <c r="B177" i="2"/>
  <c r="C177" i="2"/>
  <c r="B178" i="2"/>
  <c r="C178" i="2"/>
  <c r="B179" i="2"/>
  <c r="C179" i="2"/>
  <c r="B180" i="2"/>
  <c r="C180" i="2"/>
  <c r="B181" i="2"/>
  <c r="C181" i="2"/>
  <c r="B182" i="2"/>
  <c r="C182" i="2"/>
  <c r="B183" i="2"/>
  <c r="C183" i="2"/>
  <c r="B184" i="2"/>
  <c r="C184" i="2"/>
  <c r="B185" i="2"/>
  <c r="C185" i="2"/>
  <c r="B186" i="2"/>
  <c r="C186" i="2"/>
  <c r="B187" i="2"/>
  <c r="C187" i="2"/>
  <c r="B188" i="2"/>
  <c r="C188" i="2"/>
  <c r="B189" i="2"/>
  <c r="C189" i="2"/>
  <c r="B190" i="2"/>
  <c r="C190" i="2"/>
  <c r="B191" i="2"/>
  <c r="C191" i="2"/>
  <c r="B192" i="2"/>
  <c r="C192" i="2"/>
  <c r="B193" i="2"/>
  <c r="C193" i="2"/>
  <c r="B194" i="2"/>
  <c r="C194" i="2"/>
  <c r="B195" i="2"/>
  <c r="C195" i="2"/>
  <c r="B196" i="2"/>
  <c r="C196" i="2"/>
  <c r="B197" i="2"/>
  <c r="C197" i="2"/>
  <c r="B198" i="2"/>
  <c r="C198" i="2"/>
  <c r="B199" i="2"/>
  <c r="C199" i="2"/>
  <c r="B200" i="2"/>
  <c r="C200" i="2"/>
  <c r="B201" i="2"/>
  <c r="C201" i="2"/>
  <c r="B202" i="2"/>
  <c r="C202" i="2"/>
  <c r="B203" i="2"/>
  <c r="C203" i="2"/>
  <c r="B204" i="2"/>
  <c r="C204" i="2"/>
  <c r="B205" i="2"/>
  <c r="C205" i="2"/>
  <c r="B206" i="2"/>
  <c r="C206" i="2"/>
  <c r="B207" i="2"/>
  <c r="C207" i="2"/>
  <c r="B208" i="2"/>
  <c r="C208" i="2"/>
  <c r="B209" i="2"/>
  <c r="C209" i="2"/>
  <c r="B210" i="2"/>
  <c r="C210" i="2"/>
  <c r="B211" i="2"/>
  <c r="C211" i="2"/>
  <c r="B212" i="2"/>
  <c r="C212" i="2"/>
  <c r="B213" i="2"/>
  <c r="C213" i="2"/>
  <c r="B214" i="2"/>
  <c r="C214" i="2"/>
  <c r="B215" i="2"/>
  <c r="C215" i="2"/>
  <c r="B216" i="2"/>
  <c r="C216" i="2"/>
  <c r="B217" i="2"/>
  <c r="C217" i="2"/>
  <c r="B218" i="2"/>
  <c r="C218" i="2"/>
  <c r="B219" i="2"/>
  <c r="C219" i="2"/>
  <c r="B220" i="2"/>
  <c r="C220" i="2"/>
  <c r="B221" i="2"/>
  <c r="C221" i="2"/>
  <c r="B222" i="2"/>
  <c r="C222" i="2"/>
  <c r="B223" i="2"/>
  <c r="C223" i="2"/>
  <c r="B224" i="2"/>
  <c r="C224" i="2"/>
  <c r="B225" i="2"/>
  <c r="C225" i="2"/>
  <c r="B226" i="2"/>
  <c r="C226" i="2"/>
  <c r="B227" i="2"/>
  <c r="C227" i="2"/>
  <c r="B228" i="2"/>
  <c r="C228" i="2"/>
  <c r="B229" i="2"/>
  <c r="C229" i="2"/>
  <c r="B230" i="2"/>
  <c r="C230" i="2"/>
  <c r="B231" i="2"/>
  <c r="C231" i="2"/>
  <c r="B232" i="2"/>
  <c r="C232" i="2"/>
  <c r="B233" i="2"/>
  <c r="C233" i="2"/>
  <c r="B234" i="2"/>
  <c r="C234" i="2"/>
  <c r="B235" i="2"/>
  <c r="C235" i="2"/>
  <c r="B236" i="2"/>
  <c r="C236" i="2"/>
  <c r="B237" i="2"/>
  <c r="C237" i="2"/>
  <c r="B238" i="2"/>
  <c r="C238" i="2"/>
  <c r="B239" i="2"/>
  <c r="C239" i="2"/>
  <c r="B240" i="2"/>
  <c r="C240" i="2"/>
  <c r="B241" i="2"/>
  <c r="C241" i="2"/>
  <c r="B242" i="2"/>
  <c r="C242" i="2"/>
  <c r="B243" i="2"/>
  <c r="C243" i="2"/>
  <c r="B244" i="2"/>
  <c r="C244" i="2"/>
  <c r="B245" i="2"/>
  <c r="C245" i="2"/>
  <c r="B246" i="2"/>
  <c r="C246" i="2"/>
  <c r="B247" i="2"/>
  <c r="C247" i="2"/>
  <c r="B248" i="2"/>
  <c r="C248" i="2"/>
  <c r="B249" i="2"/>
  <c r="C249" i="2"/>
  <c r="B250" i="2"/>
  <c r="C250" i="2"/>
  <c r="B251" i="2"/>
  <c r="C251" i="2"/>
  <c r="B252" i="2"/>
  <c r="C252" i="2"/>
  <c r="B253" i="2"/>
  <c r="C253" i="2"/>
  <c r="B254" i="2"/>
  <c r="C254" i="2"/>
  <c r="B255" i="2"/>
  <c r="C255" i="2"/>
  <c r="B256" i="2"/>
  <c r="C256" i="2"/>
  <c r="B257" i="2"/>
  <c r="C257" i="2"/>
  <c r="B258" i="2"/>
  <c r="C258" i="2"/>
  <c r="B259" i="2"/>
  <c r="C259" i="2"/>
  <c r="B260" i="2"/>
  <c r="C260" i="2"/>
  <c r="B261" i="2"/>
  <c r="C261" i="2"/>
  <c r="B262" i="2"/>
  <c r="C262" i="2"/>
  <c r="B263" i="2"/>
  <c r="C263" i="2"/>
  <c r="B264" i="2"/>
  <c r="C264" i="2"/>
  <c r="B265" i="2"/>
  <c r="C265" i="2"/>
  <c r="B266" i="2"/>
  <c r="C266" i="2"/>
  <c r="B267" i="2"/>
  <c r="C267" i="2"/>
  <c r="B268" i="2"/>
  <c r="C268" i="2"/>
  <c r="B269" i="2"/>
  <c r="C269" i="2"/>
  <c r="B270" i="2"/>
  <c r="C270" i="2"/>
  <c r="B271" i="2"/>
  <c r="C271" i="2"/>
  <c r="B272" i="2"/>
  <c r="C272" i="2"/>
  <c r="B273" i="2"/>
  <c r="C273" i="2"/>
  <c r="B274" i="2"/>
  <c r="C274" i="2"/>
  <c r="B275" i="2"/>
  <c r="C275" i="2"/>
  <c r="B276" i="2"/>
  <c r="C276" i="2"/>
  <c r="B277" i="2"/>
  <c r="C277" i="2"/>
  <c r="B278" i="2"/>
  <c r="C278" i="2"/>
  <c r="B279" i="2"/>
  <c r="C279" i="2"/>
  <c r="B280" i="2"/>
  <c r="C280" i="2"/>
  <c r="B281" i="2"/>
  <c r="C281" i="2"/>
  <c r="B282" i="2"/>
  <c r="C282" i="2"/>
  <c r="B283" i="2"/>
  <c r="C283" i="2"/>
  <c r="B284" i="2"/>
  <c r="C284" i="2"/>
  <c r="B285" i="2"/>
  <c r="C285" i="2"/>
  <c r="B286" i="2"/>
  <c r="C286" i="2"/>
  <c r="B287" i="2"/>
  <c r="C287" i="2"/>
  <c r="B288" i="2"/>
  <c r="C288" i="2"/>
  <c r="B289" i="2"/>
  <c r="C289" i="2"/>
  <c r="B290" i="2"/>
  <c r="C290" i="2"/>
  <c r="B291" i="2"/>
  <c r="C291" i="2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301" i="2"/>
  <c r="C301" i="2"/>
  <c r="B302" i="2"/>
  <c r="C302" i="2"/>
  <c r="B303" i="2"/>
  <c r="C303" i="2"/>
  <c r="B304" i="2"/>
  <c r="C304" i="2"/>
  <c r="B305" i="2"/>
  <c r="C305" i="2"/>
  <c r="B306" i="2"/>
  <c r="C306" i="2"/>
  <c r="B307" i="2"/>
  <c r="C307" i="2"/>
  <c r="B308" i="2"/>
  <c r="C308" i="2"/>
  <c r="B309" i="2"/>
  <c r="C309" i="2"/>
  <c r="B310" i="2"/>
  <c r="C310" i="2"/>
  <c r="B311" i="2"/>
  <c r="C311" i="2"/>
  <c r="B312" i="2"/>
  <c r="C312" i="2"/>
  <c r="B313" i="2"/>
  <c r="C313" i="2"/>
  <c r="B314" i="2"/>
  <c r="C314" i="2"/>
  <c r="B315" i="2"/>
  <c r="C315" i="2"/>
  <c r="B316" i="2"/>
  <c r="C316" i="2"/>
  <c r="B317" i="2"/>
  <c r="C317" i="2"/>
  <c r="B318" i="2"/>
  <c r="C318" i="2"/>
  <c r="B319" i="2"/>
  <c r="C319" i="2"/>
  <c r="B320" i="2"/>
  <c r="C320" i="2"/>
  <c r="B321" i="2"/>
  <c r="C321" i="2"/>
  <c r="B322" i="2"/>
  <c r="C322" i="2"/>
  <c r="B323" i="2"/>
  <c r="C323" i="2"/>
  <c r="B324" i="2"/>
  <c r="C324" i="2"/>
  <c r="B325" i="2"/>
  <c r="C325" i="2"/>
  <c r="B326" i="2"/>
  <c r="C326" i="2"/>
  <c r="B327" i="2"/>
  <c r="C327" i="2"/>
  <c r="B328" i="2"/>
  <c r="C328" i="2"/>
  <c r="B329" i="2"/>
  <c r="C329" i="2"/>
  <c r="B330" i="2"/>
  <c r="C330" i="2"/>
  <c r="B331" i="2"/>
  <c r="C331" i="2"/>
  <c r="B332" i="2"/>
  <c r="C332" i="2"/>
  <c r="B333" i="2"/>
  <c r="C333" i="2"/>
  <c r="B334" i="2"/>
  <c r="C334" i="2"/>
  <c r="B335" i="2"/>
  <c r="C335" i="2"/>
  <c r="B336" i="2"/>
  <c r="C336" i="2"/>
  <c r="C2" i="2"/>
  <c r="B2" i="2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A108" i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3" i="1"/>
  <c r="B104" i="1" l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35" i="1"/>
  <c r="B8" i="1"/>
  <c r="B4" i="1"/>
  <c r="B149" i="1"/>
  <c r="B146" i="1"/>
  <c r="B141" i="1"/>
  <c r="B133" i="1"/>
  <c r="B131" i="1"/>
  <c r="B121" i="1"/>
  <c r="B117" i="1"/>
  <c r="B114" i="1"/>
  <c r="B110" i="1"/>
  <c r="B106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37" i="1"/>
  <c r="B34" i="1"/>
  <c r="B6" i="1"/>
  <c r="B1" i="1"/>
  <c r="B143" i="1"/>
  <c r="B139" i="1"/>
  <c r="B134" i="1"/>
  <c r="B129" i="1"/>
  <c r="B127" i="1"/>
  <c r="B122" i="1"/>
  <c r="B120" i="1"/>
  <c r="B116" i="1"/>
  <c r="B113" i="1"/>
  <c r="B109" i="1"/>
  <c r="B105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6" i="1"/>
  <c r="B9" i="1"/>
  <c r="B5" i="1"/>
  <c r="B2" i="1"/>
  <c r="B147" i="1"/>
  <c r="B145" i="1"/>
  <c r="B142" i="1"/>
  <c r="B138" i="1"/>
  <c r="B135" i="1"/>
  <c r="B130" i="1"/>
  <c r="B125" i="1"/>
  <c r="B123" i="1"/>
  <c r="B118" i="1"/>
  <c r="B115" i="1"/>
  <c r="B111" i="1"/>
  <c r="B107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7" i="1"/>
  <c r="B3" i="1"/>
  <c r="B148" i="1"/>
  <c r="B144" i="1"/>
  <c r="B140" i="1"/>
  <c r="B136" i="1"/>
  <c r="B132" i="1"/>
  <c r="B128" i="1"/>
  <c r="B126" i="1"/>
  <c r="B124" i="1"/>
  <c r="B119" i="1"/>
  <c r="B112" i="1"/>
  <c r="B108" i="1"/>
  <c r="B13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Mond!$A$2:$A$31</c:f>
              <c:numCache>
                <c:formatCode>General</c:formatCode>
                <c:ptCount val="3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</c:numCache>
            </c:numRef>
          </c:xVal>
          <c:yVal>
            <c:numRef>
              <c:f>Mond!$B$2:$B$31</c:f>
              <c:numCache>
                <c:formatCode>General</c:formatCode>
                <c:ptCount val="30"/>
                <c:pt idx="0">
                  <c:v>0</c:v>
                </c:pt>
                <c:pt idx="1">
                  <c:v>0.55327307873743092</c:v>
                </c:pt>
                <c:pt idx="2">
                  <c:v>2.1858824394247804</c:v>
                </c:pt>
                <c:pt idx="3">
                  <c:v>4.817536632518669</c:v>
                </c:pt>
                <c:pt idx="4">
                  <c:v>8.3188113542337341</c:v>
                </c:pt>
                <c:pt idx="5">
                  <c:v>12.517514511699858</c:v>
                </c:pt>
                <c:pt idx="6">
                  <c:v>17.207154600682738</c:v>
                </c:pt>
                <c:pt idx="7">
                  <c:v>22.157095922497756</c:v>
                </c:pt>
                <c:pt idx="8">
                  <c:v>17.876098791716451</c:v>
                </c:pt>
                <c:pt idx="9">
                  <c:v>13.136696177689297</c:v>
                </c:pt>
                <c:pt idx="10">
                  <c:v>8.857779246588704</c:v>
                </c:pt>
                <c:pt idx="11">
                  <c:v>5.2497844023374913</c:v>
                </c:pt>
                <c:pt idx="12">
                  <c:v>2.4901522152065696</c:v>
                </c:pt>
                <c:pt idx="13">
                  <c:v>0.7146009248720866</c:v>
                </c:pt>
                <c:pt idx="14">
                  <c:v>1.0451840566015613E-2</c:v>
                </c:pt>
                <c:pt idx="15">
                  <c:v>0.4123348940007221</c:v>
                </c:pt>
                <c:pt idx="16">
                  <c:v>1.9004855452414304</c:v>
                </c:pt>
                <c:pt idx="17">
                  <c:v>4.4017167994048494</c:v>
                </c:pt>
                <c:pt idx="18">
                  <c:v>7.7930185305687312</c:v>
                </c:pt>
                <c:pt idx="19">
                  <c:v>11.907607098757198</c:v>
                </c:pt>
                <c:pt idx="20">
                  <c:v>16.543127740871633</c:v>
                </c:pt>
                <c:pt idx="21">
                  <c:v>21.471606343381939</c:v>
                </c:pt>
                <c:pt idx="22">
                  <c:v>18.54933882970321</c:v>
                </c:pt>
                <c:pt idx="23">
                  <c:v>13.764576844454027</c:v>
                </c:pt>
                <c:pt idx="24">
                  <c:v>9.4094214781686603</c:v>
                </c:pt>
                <c:pt idx="25">
                  <c:v>5.6980585279924236</c:v>
                </c:pt>
                <c:pt idx="26">
                  <c:v>2.8130121899925236</c:v>
                </c:pt>
                <c:pt idx="27">
                  <c:v>0.89616855036676579</c:v>
                </c:pt>
                <c:pt idx="28">
                  <c:v>4.1797651955505222E-2</c:v>
                </c:pt>
                <c:pt idx="29">
                  <c:v>0.2919173096340949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9-4E00-B0D0-FC8B61D7C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199456"/>
        <c:axId val="2038810160"/>
      </c:scatterChart>
      <c:valAx>
        <c:axId val="193919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38810160"/>
        <c:crosses val="autoZero"/>
        <c:crossBetween val="midCat"/>
      </c:valAx>
      <c:valAx>
        <c:axId val="203881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3919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Cirkel!$A$2:$A$336</c:f>
              <c:numCache>
                <c:formatCode>General</c:formatCode>
                <c:ptCount val="335"/>
                <c:pt idx="0">
                  <c:v>-167</c:v>
                </c:pt>
                <c:pt idx="1">
                  <c:v>-166</c:v>
                </c:pt>
                <c:pt idx="2">
                  <c:v>-165</c:v>
                </c:pt>
                <c:pt idx="3">
                  <c:v>-164</c:v>
                </c:pt>
                <c:pt idx="4">
                  <c:v>-163</c:v>
                </c:pt>
                <c:pt idx="5">
                  <c:v>-162</c:v>
                </c:pt>
                <c:pt idx="6">
                  <c:v>-161</c:v>
                </c:pt>
                <c:pt idx="7">
                  <c:v>-160</c:v>
                </c:pt>
                <c:pt idx="8">
                  <c:v>-159</c:v>
                </c:pt>
                <c:pt idx="9">
                  <c:v>-158</c:v>
                </c:pt>
                <c:pt idx="10">
                  <c:v>-157</c:v>
                </c:pt>
                <c:pt idx="11">
                  <c:v>-156</c:v>
                </c:pt>
                <c:pt idx="12">
                  <c:v>-155</c:v>
                </c:pt>
                <c:pt idx="13">
                  <c:v>-154</c:v>
                </c:pt>
                <c:pt idx="14">
                  <c:v>-153</c:v>
                </c:pt>
                <c:pt idx="15">
                  <c:v>-152</c:v>
                </c:pt>
                <c:pt idx="16">
                  <c:v>-151</c:v>
                </c:pt>
                <c:pt idx="17">
                  <c:v>-150</c:v>
                </c:pt>
                <c:pt idx="18">
                  <c:v>-149</c:v>
                </c:pt>
                <c:pt idx="19">
                  <c:v>-148</c:v>
                </c:pt>
                <c:pt idx="20">
                  <c:v>-147</c:v>
                </c:pt>
                <c:pt idx="21">
                  <c:v>-146</c:v>
                </c:pt>
                <c:pt idx="22">
                  <c:v>-145</c:v>
                </c:pt>
                <c:pt idx="23">
                  <c:v>-144</c:v>
                </c:pt>
                <c:pt idx="24">
                  <c:v>-143</c:v>
                </c:pt>
                <c:pt idx="25">
                  <c:v>-142</c:v>
                </c:pt>
                <c:pt idx="26">
                  <c:v>-141</c:v>
                </c:pt>
                <c:pt idx="27">
                  <c:v>-140</c:v>
                </c:pt>
                <c:pt idx="28">
                  <c:v>-139</c:v>
                </c:pt>
                <c:pt idx="29">
                  <c:v>-138</c:v>
                </c:pt>
                <c:pt idx="30">
                  <c:v>-137</c:v>
                </c:pt>
                <c:pt idx="31">
                  <c:v>-136</c:v>
                </c:pt>
                <c:pt idx="32">
                  <c:v>-135</c:v>
                </c:pt>
                <c:pt idx="33">
                  <c:v>-134</c:v>
                </c:pt>
                <c:pt idx="34">
                  <c:v>-133</c:v>
                </c:pt>
                <c:pt idx="35">
                  <c:v>-132</c:v>
                </c:pt>
                <c:pt idx="36">
                  <c:v>-131</c:v>
                </c:pt>
                <c:pt idx="37">
                  <c:v>-130</c:v>
                </c:pt>
                <c:pt idx="38">
                  <c:v>-129</c:v>
                </c:pt>
                <c:pt idx="39">
                  <c:v>-128</c:v>
                </c:pt>
                <c:pt idx="40">
                  <c:v>-127</c:v>
                </c:pt>
                <c:pt idx="41">
                  <c:v>-126</c:v>
                </c:pt>
                <c:pt idx="42">
                  <c:v>-125</c:v>
                </c:pt>
                <c:pt idx="43">
                  <c:v>-124</c:v>
                </c:pt>
                <c:pt idx="44">
                  <c:v>-123</c:v>
                </c:pt>
                <c:pt idx="45">
                  <c:v>-122</c:v>
                </c:pt>
                <c:pt idx="46">
                  <c:v>-121</c:v>
                </c:pt>
                <c:pt idx="47">
                  <c:v>-120</c:v>
                </c:pt>
                <c:pt idx="48">
                  <c:v>-119</c:v>
                </c:pt>
                <c:pt idx="49">
                  <c:v>-118</c:v>
                </c:pt>
                <c:pt idx="50">
                  <c:v>-117</c:v>
                </c:pt>
                <c:pt idx="51">
                  <c:v>-116</c:v>
                </c:pt>
                <c:pt idx="52">
                  <c:v>-115</c:v>
                </c:pt>
                <c:pt idx="53">
                  <c:v>-114</c:v>
                </c:pt>
                <c:pt idx="54">
                  <c:v>-113</c:v>
                </c:pt>
                <c:pt idx="55">
                  <c:v>-112</c:v>
                </c:pt>
                <c:pt idx="56">
                  <c:v>-111</c:v>
                </c:pt>
                <c:pt idx="57">
                  <c:v>-110</c:v>
                </c:pt>
                <c:pt idx="58">
                  <c:v>-109</c:v>
                </c:pt>
                <c:pt idx="59">
                  <c:v>-108</c:v>
                </c:pt>
                <c:pt idx="60">
                  <c:v>-107</c:v>
                </c:pt>
                <c:pt idx="61">
                  <c:v>-106</c:v>
                </c:pt>
                <c:pt idx="62">
                  <c:v>-105</c:v>
                </c:pt>
                <c:pt idx="63">
                  <c:v>-104</c:v>
                </c:pt>
                <c:pt idx="64">
                  <c:v>-103</c:v>
                </c:pt>
                <c:pt idx="65">
                  <c:v>-102</c:v>
                </c:pt>
                <c:pt idx="66">
                  <c:v>-101</c:v>
                </c:pt>
                <c:pt idx="67">
                  <c:v>-100</c:v>
                </c:pt>
                <c:pt idx="68">
                  <c:v>-99</c:v>
                </c:pt>
                <c:pt idx="69">
                  <c:v>-98</c:v>
                </c:pt>
                <c:pt idx="70">
                  <c:v>-97</c:v>
                </c:pt>
                <c:pt idx="71">
                  <c:v>-96</c:v>
                </c:pt>
                <c:pt idx="72">
                  <c:v>-95</c:v>
                </c:pt>
                <c:pt idx="73">
                  <c:v>-94</c:v>
                </c:pt>
                <c:pt idx="74">
                  <c:v>-93</c:v>
                </c:pt>
                <c:pt idx="75">
                  <c:v>-92</c:v>
                </c:pt>
                <c:pt idx="76">
                  <c:v>-91</c:v>
                </c:pt>
                <c:pt idx="77">
                  <c:v>-90</c:v>
                </c:pt>
                <c:pt idx="78">
                  <c:v>-89</c:v>
                </c:pt>
                <c:pt idx="79">
                  <c:v>-88</c:v>
                </c:pt>
                <c:pt idx="80">
                  <c:v>-87</c:v>
                </c:pt>
                <c:pt idx="81">
                  <c:v>-86</c:v>
                </c:pt>
                <c:pt idx="82">
                  <c:v>-85</c:v>
                </c:pt>
                <c:pt idx="83">
                  <c:v>-84</c:v>
                </c:pt>
                <c:pt idx="84">
                  <c:v>-83</c:v>
                </c:pt>
                <c:pt idx="85">
                  <c:v>-82</c:v>
                </c:pt>
                <c:pt idx="86">
                  <c:v>-81</c:v>
                </c:pt>
                <c:pt idx="87">
                  <c:v>-80</c:v>
                </c:pt>
                <c:pt idx="88">
                  <c:v>-79</c:v>
                </c:pt>
                <c:pt idx="89">
                  <c:v>-78</c:v>
                </c:pt>
                <c:pt idx="90">
                  <c:v>-77</c:v>
                </c:pt>
                <c:pt idx="91">
                  <c:v>-76</c:v>
                </c:pt>
                <c:pt idx="92">
                  <c:v>-75</c:v>
                </c:pt>
                <c:pt idx="93">
                  <c:v>-74</c:v>
                </c:pt>
                <c:pt idx="94">
                  <c:v>-73</c:v>
                </c:pt>
                <c:pt idx="95">
                  <c:v>-72</c:v>
                </c:pt>
                <c:pt idx="96">
                  <c:v>-71</c:v>
                </c:pt>
                <c:pt idx="97">
                  <c:v>-70</c:v>
                </c:pt>
                <c:pt idx="98">
                  <c:v>-69</c:v>
                </c:pt>
                <c:pt idx="99">
                  <c:v>-68</c:v>
                </c:pt>
                <c:pt idx="100">
                  <c:v>-67</c:v>
                </c:pt>
                <c:pt idx="101">
                  <c:v>-66</c:v>
                </c:pt>
                <c:pt idx="102">
                  <c:v>-65</c:v>
                </c:pt>
                <c:pt idx="103">
                  <c:v>-64</c:v>
                </c:pt>
                <c:pt idx="104">
                  <c:v>-63</c:v>
                </c:pt>
                <c:pt idx="105">
                  <c:v>-62</c:v>
                </c:pt>
                <c:pt idx="106">
                  <c:v>-61</c:v>
                </c:pt>
                <c:pt idx="107">
                  <c:v>-60</c:v>
                </c:pt>
                <c:pt idx="108">
                  <c:v>-59</c:v>
                </c:pt>
                <c:pt idx="109">
                  <c:v>-58</c:v>
                </c:pt>
                <c:pt idx="110">
                  <c:v>-57</c:v>
                </c:pt>
                <c:pt idx="111">
                  <c:v>-56</c:v>
                </c:pt>
                <c:pt idx="112">
                  <c:v>-55</c:v>
                </c:pt>
                <c:pt idx="113">
                  <c:v>-54</c:v>
                </c:pt>
                <c:pt idx="114">
                  <c:v>-53</c:v>
                </c:pt>
                <c:pt idx="115">
                  <c:v>-52</c:v>
                </c:pt>
                <c:pt idx="116">
                  <c:v>-51</c:v>
                </c:pt>
                <c:pt idx="117">
                  <c:v>-50</c:v>
                </c:pt>
                <c:pt idx="118">
                  <c:v>-49</c:v>
                </c:pt>
                <c:pt idx="119">
                  <c:v>-48</c:v>
                </c:pt>
                <c:pt idx="120">
                  <c:v>-47</c:v>
                </c:pt>
                <c:pt idx="121">
                  <c:v>-46</c:v>
                </c:pt>
                <c:pt idx="122">
                  <c:v>-45</c:v>
                </c:pt>
                <c:pt idx="123">
                  <c:v>-44</c:v>
                </c:pt>
                <c:pt idx="124">
                  <c:v>-43</c:v>
                </c:pt>
                <c:pt idx="125">
                  <c:v>-42</c:v>
                </c:pt>
                <c:pt idx="126">
                  <c:v>-41</c:v>
                </c:pt>
                <c:pt idx="127">
                  <c:v>-40</c:v>
                </c:pt>
                <c:pt idx="128">
                  <c:v>-39</c:v>
                </c:pt>
                <c:pt idx="129">
                  <c:v>-38</c:v>
                </c:pt>
                <c:pt idx="130">
                  <c:v>-37</c:v>
                </c:pt>
                <c:pt idx="131">
                  <c:v>-36</c:v>
                </c:pt>
                <c:pt idx="132">
                  <c:v>-35</c:v>
                </c:pt>
                <c:pt idx="133">
                  <c:v>-34</c:v>
                </c:pt>
                <c:pt idx="134">
                  <c:v>-33</c:v>
                </c:pt>
                <c:pt idx="135">
                  <c:v>-32</c:v>
                </c:pt>
                <c:pt idx="136">
                  <c:v>-31</c:v>
                </c:pt>
                <c:pt idx="137">
                  <c:v>-30</c:v>
                </c:pt>
                <c:pt idx="138">
                  <c:v>-29</c:v>
                </c:pt>
                <c:pt idx="139">
                  <c:v>-28</c:v>
                </c:pt>
                <c:pt idx="140">
                  <c:v>-27</c:v>
                </c:pt>
                <c:pt idx="141">
                  <c:v>-26</c:v>
                </c:pt>
                <c:pt idx="142">
                  <c:v>-25</c:v>
                </c:pt>
                <c:pt idx="143">
                  <c:v>-24</c:v>
                </c:pt>
                <c:pt idx="144">
                  <c:v>-23</c:v>
                </c:pt>
                <c:pt idx="145">
                  <c:v>-22</c:v>
                </c:pt>
                <c:pt idx="146">
                  <c:v>-21</c:v>
                </c:pt>
                <c:pt idx="147">
                  <c:v>-20</c:v>
                </c:pt>
                <c:pt idx="148">
                  <c:v>-19</c:v>
                </c:pt>
                <c:pt idx="149">
                  <c:v>-18</c:v>
                </c:pt>
                <c:pt idx="150">
                  <c:v>-17</c:v>
                </c:pt>
                <c:pt idx="151">
                  <c:v>-16</c:v>
                </c:pt>
                <c:pt idx="152">
                  <c:v>-15</c:v>
                </c:pt>
                <c:pt idx="153">
                  <c:v>-14</c:v>
                </c:pt>
                <c:pt idx="154">
                  <c:v>-13</c:v>
                </c:pt>
                <c:pt idx="155">
                  <c:v>-12</c:v>
                </c:pt>
                <c:pt idx="156">
                  <c:v>-11</c:v>
                </c:pt>
                <c:pt idx="157">
                  <c:v>-10</c:v>
                </c:pt>
                <c:pt idx="158">
                  <c:v>-9</c:v>
                </c:pt>
                <c:pt idx="159">
                  <c:v>-8</c:v>
                </c:pt>
                <c:pt idx="160">
                  <c:v>-7</c:v>
                </c:pt>
                <c:pt idx="161">
                  <c:v>-6</c:v>
                </c:pt>
                <c:pt idx="162">
                  <c:v>-5</c:v>
                </c:pt>
                <c:pt idx="163">
                  <c:v>-4</c:v>
                </c:pt>
                <c:pt idx="164">
                  <c:v>-3</c:v>
                </c:pt>
                <c:pt idx="165">
                  <c:v>-2</c:v>
                </c:pt>
                <c:pt idx="166">
                  <c:v>-1</c:v>
                </c:pt>
                <c:pt idx="167">
                  <c:v>0</c:v>
                </c:pt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5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9</c:v>
                </c:pt>
                <c:pt idx="177">
                  <c:v>10</c:v>
                </c:pt>
                <c:pt idx="178">
                  <c:v>11</c:v>
                </c:pt>
                <c:pt idx="179">
                  <c:v>12</c:v>
                </c:pt>
                <c:pt idx="180">
                  <c:v>13</c:v>
                </c:pt>
                <c:pt idx="181">
                  <c:v>14</c:v>
                </c:pt>
                <c:pt idx="182">
                  <c:v>15</c:v>
                </c:pt>
                <c:pt idx="183">
                  <c:v>16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21</c:v>
                </c:pt>
                <c:pt idx="189">
                  <c:v>22</c:v>
                </c:pt>
                <c:pt idx="190">
                  <c:v>23</c:v>
                </c:pt>
                <c:pt idx="191">
                  <c:v>24</c:v>
                </c:pt>
                <c:pt idx="192">
                  <c:v>25</c:v>
                </c:pt>
                <c:pt idx="193">
                  <c:v>26</c:v>
                </c:pt>
                <c:pt idx="194">
                  <c:v>27</c:v>
                </c:pt>
                <c:pt idx="195">
                  <c:v>28</c:v>
                </c:pt>
                <c:pt idx="196">
                  <c:v>29</c:v>
                </c:pt>
                <c:pt idx="197">
                  <c:v>30</c:v>
                </c:pt>
                <c:pt idx="198">
                  <c:v>31</c:v>
                </c:pt>
                <c:pt idx="199">
                  <c:v>32</c:v>
                </c:pt>
                <c:pt idx="200">
                  <c:v>33</c:v>
                </c:pt>
                <c:pt idx="201">
                  <c:v>34</c:v>
                </c:pt>
                <c:pt idx="202">
                  <c:v>35</c:v>
                </c:pt>
                <c:pt idx="203">
                  <c:v>36</c:v>
                </c:pt>
                <c:pt idx="204">
                  <c:v>37</c:v>
                </c:pt>
                <c:pt idx="205">
                  <c:v>38</c:v>
                </c:pt>
                <c:pt idx="206">
                  <c:v>39</c:v>
                </c:pt>
                <c:pt idx="207">
                  <c:v>40</c:v>
                </c:pt>
                <c:pt idx="208">
                  <c:v>41</c:v>
                </c:pt>
                <c:pt idx="209">
                  <c:v>42</c:v>
                </c:pt>
                <c:pt idx="210">
                  <c:v>43</c:v>
                </c:pt>
                <c:pt idx="211">
                  <c:v>44</c:v>
                </c:pt>
                <c:pt idx="212">
                  <c:v>45</c:v>
                </c:pt>
                <c:pt idx="213">
                  <c:v>46</c:v>
                </c:pt>
                <c:pt idx="214">
                  <c:v>47</c:v>
                </c:pt>
                <c:pt idx="215">
                  <c:v>48</c:v>
                </c:pt>
                <c:pt idx="216">
                  <c:v>49</c:v>
                </c:pt>
                <c:pt idx="217">
                  <c:v>50</c:v>
                </c:pt>
                <c:pt idx="218">
                  <c:v>51</c:v>
                </c:pt>
                <c:pt idx="219">
                  <c:v>52</c:v>
                </c:pt>
                <c:pt idx="220">
                  <c:v>53</c:v>
                </c:pt>
                <c:pt idx="221">
                  <c:v>54</c:v>
                </c:pt>
                <c:pt idx="222">
                  <c:v>55</c:v>
                </c:pt>
                <c:pt idx="223">
                  <c:v>56</c:v>
                </c:pt>
                <c:pt idx="224">
                  <c:v>57</c:v>
                </c:pt>
                <c:pt idx="225">
                  <c:v>58</c:v>
                </c:pt>
                <c:pt idx="226">
                  <c:v>59</c:v>
                </c:pt>
                <c:pt idx="227">
                  <c:v>60</c:v>
                </c:pt>
                <c:pt idx="228">
                  <c:v>61</c:v>
                </c:pt>
                <c:pt idx="229">
                  <c:v>62</c:v>
                </c:pt>
                <c:pt idx="230">
                  <c:v>63</c:v>
                </c:pt>
                <c:pt idx="231">
                  <c:v>64</c:v>
                </c:pt>
                <c:pt idx="232">
                  <c:v>65</c:v>
                </c:pt>
                <c:pt idx="233">
                  <c:v>66</c:v>
                </c:pt>
                <c:pt idx="234">
                  <c:v>67</c:v>
                </c:pt>
                <c:pt idx="235">
                  <c:v>68</c:v>
                </c:pt>
                <c:pt idx="236">
                  <c:v>69</c:v>
                </c:pt>
                <c:pt idx="237">
                  <c:v>70</c:v>
                </c:pt>
                <c:pt idx="238">
                  <c:v>71</c:v>
                </c:pt>
                <c:pt idx="239">
                  <c:v>72</c:v>
                </c:pt>
                <c:pt idx="240">
                  <c:v>73</c:v>
                </c:pt>
                <c:pt idx="241">
                  <c:v>74</c:v>
                </c:pt>
                <c:pt idx="242">
                  <c:v>75</c:v>
                </c:pt>
                <c:pt idx="243">
                  <c:v>76</c:v>
                </c:pt>
                <c:pt idx="244">
                  <c:v>77</c:v>
                </c:pt>
                <c:pt idx="245">
                  <c:v>78</c:v>
                </c:pt>
                <c:pt idx="246">
                  <c:v>79</c:v>
                </c:pt>
                <c:pt idx="247">
                  <c:v>80</c:v>
                </c:pt>
                <c:pt idx="248">
                  <c:v>81</c:v>
                </c:pt>
                <c:pt idx="249">
                  <c:v>82</c:v>
                </c:pt>
                <c:pt idx="250">
                  <c:v>83</c:v>
                </c:pt>
                <c:pt idx="251">
                  <c:v>84</c:v>
                </c:pt>
                <c:pt idx="252">
                  <c:v>85</c:v>
                </c:pt>
                <c:pt idx="253">
                  <c:v>86</c:v>
                </c:pt>
                <c:pt idx="254">
                  <c:v>87</c:v>
                </c:pt>
                <c:pt idx="255">
                  <c:v>88</c:v>
                </c:pt>
                <c:pt idx="256">
                  <c:v>89</c:v>
                </c:pt>
                <c:pt idx="257">
                  <c:v>90</c:v>
                </c:pt>
                <c:pt idx="258">
                  <c:v>91</c:v>
                </c:pt>
                <c:pt idx="259">
                  <c:v>92</c:v>
                </c:pt>
                <c:pt idx="260">
                  <c:v>93</c:v>
                </c:pt>
                <c:pt idx="261">
                  <c:v>94</c:v>
                </c:pt>
                <c:pt idx="262">
                  <c:v>95</c:v>
                </c:pt>
                <c:pt idx="263">
                  <c:v>96</c:v>
                </c:pt>
                <c:pt idx="264">
                  <c:v>97</c:v>
                </c:pt>
                <c:pt idx="265">
                  <c:v>98</c:v>
                </c:pt>
                <c:pt idx="266">
                  <c:v>99</c:v>
                </c:pt>
                <c:pt idx="267">
                  <c:v>100</c:v>
                </c:pt>
                <c:pt idx="268">
                  <c:v>101</c:v>
                </c:pt>
                <c:pt idx="269">
                  <c:v>102</c:v>
                </c:pt>
                <c:pt idx="270">
                  <c:v>103</c:v>
                </c:pt>
                <c:pt idx="271">
                  <c:v>104</c:v>
                </c:pt>
                <c:pt idx="272">
                  <c:v>105</c:v>
                </c:pt>
                <c:pt idx="273">
                  <c:v>106</c:v>
                </c:pt>
                <c:pt idx="274">
                  <c:v>107</c:v>
                </c:pt>
                <c:pt idx="275">
                  <c:v>108</c:v>
                </c:pt>
                <c:pt idx="276">
                  <c:v>109</c:v>
                </c:pt>
                <c:pt idx="277">
                  <c:v>110</c:v>
                </c:pt>
                <c:pt idx="278">
                  <c:v>111</c:v>
                </c:pt>
                <c:pt idx="279">
                  <c:v>112</c:v>
                </c:pt>
                <c:pt idx="280">
                  <c:v>113</c:v>
                </c:pt>
                <c:pt idx="281">
                  <c:v>114</c:v>
                </c:pt>
                <c:pt idx="282">
                  <c:v>115</c:v>
                </c:pt>
                <c:pt idx="283">
                  <c:v>116</c:v>
                </c:pt>
                <c:pt idx="284">
                  <c:v>117</c:v>
                </c:pt>
                <c:pt idx="285">
                  <c:v>118</c:v>
                </c:pt>
                <c:pt idx="286">
                  <c:v>119</c:v>
                </c:pt>
                <c:pt idx="287">
                  <c:v>120</c:v>
                </c:pt>
                <c:pt idx="288">
                  <c:v>121</c:v>
                </c:pt>
                <c:pt idx="289">
                  <c:v>122</c:v>
                </c:pt>
                <c:pt idx="290">
                  <c:v>123</c:v>
                </c:pt>
                <c:pt idx="291">
                  <c:v>124</c:v>
                </c:pt>
                <c:pt idx="292">
                  <c:v>125</c:v>
                </c:pt>
                <c:pt idx="293">
                  <c:v>126</c:v>
                </c:pt>
                <c:pt idx="294">
                  <c:v>127</c:v>
                </c:pt>
                <c:pt idx="295">
                  <c:v>128</c:v>
                </c:pt>
                <c:pt idx="296">
                  <c:v>129</c:v>
                </c:pt>
                <c:pt idx="297">
                  <c:v>130</c:v>
                </c:pt>
                <c:pt idx="298">
                  <c:v>131</c:v>
                </c:pt>
                <c:pt idx="299">
                  <c:v>132</c:v>
                </c:pt>
                <c:pt idx="300">
                  <c:v>133</c:v>
                </c:pt>
                <c:pt idx="301">
                  <c:v>134</c:v>
                </c:pt>
                <c:pt idx="302">
                  <c:v>135</c:v>
                </c:pt>
                <c:pt idx="303">
                  <c:v>136</c:v>
                </c:pt>
                <c:pt idx="304">
                  <c:v>137</c:v>
                </c:pt>
                <c:pt idx="305">
                  <c:v>138</c:v>
                </c:pt>
                <c:pt idx="306">
                  <c:v>139</c:v>
                </c:pt>
                <c:pt idx="307">
                  <c:v>140</c:v>
                </c:pt>
                <c:pt idx="308">
                  <c:v>141</c:v>
                </c:pt>
                <c:pt idx="309">
                  <c:v>142</c:v>
                </c:pt>
                <c:pt idx="310">
                  <c:v>143</c:v>
                </c:pt>
                <c:pt idx="311">
                  <c:v>144</c:v>
                </c:pt>
                <c:pt idx="312">
                  <c:v>145</c:v>
                </c:pt>
                <c:pt idx="313">
                  <c:v>146</c:v>
                </c:pt>
                <c:pt idx="314">
                  <c:v>147</c:v>
                </c:pt>
                <c:pt idx="315">
                  <c:v>148</c:v>
                </c:pt>
                <c:pt idx="316">
                  <c:v>149</c:v>
                </c:pt>
                <c:pt idx="317">
                  <c:v>150</c:v>
                </c:pt>
                <c:pt idx="318">
                  <c:v>151</c:v>
                </c:pt>
                <c:pt idx="319">
                  <c:v>152</c:v>
                </c:pt>
                <c:pt idx="320">
                  <c:v>153</c:v>
                </c:pt>
                <c:pt idx="321">
                  <c:v>154</c:v>
                </c:pt>
                <c:pt idx="322">
                  <c:v>155</c:v>
                </c:pt>
                <c:pt idx="323">
                  <c:v>156</c:v>
                </c:pt>
                <c:pt idx="324">
                  <c:v>157</c:v>
                </c:pt>
                <c:pt idx="325">
                  <c:v>158</c:v>
                </c:pt>
                <c:pt idx="326">
                  <c:v>159</c:v>
                </c:pt>
                <c:pt idx="327">
                  <c:v>160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</c:numCache>
            </c:numRef>
          </c:xVal>
          <c:yVal>
            <c:numRef>
              <c:f>Cirkel!$B$2:$B$336</c:f>
              <c:numCache>
                <c:formatCode>General</c:formatCode>
                <c:ptCount val="335"/>
                <c:pt idx="0">
                  <c:v>4.6772589957931103</c:v>
                </c:pt>
                <c:pt idx="1">
                  <c:v>12.517251430212802</c:v>
                </c:pt>
                <c:pt idx="2">
                  <c:v>17.102916805956031</c:v>
                </c:pt>
                <c:pt idx="3">
                  <c:v>20.720506496455897</c:v>
                </c:pt>
                <c:pt idx="4">
                  <c:v>23.814877671828768</c:v>
                </c:pt>
                <c:pt idx="5">
                  <c:v>26.569052844883974</c:v>
                </c:pt>
                <c:pt idx="6">
                  <c:v>29.079469139226951</c:v>
                </c:pt>
                <c:pt idx="7">
                  <c:v>31.404279025742696</c:v>
                </c:pt>
                <c:pt idx="8">
                  <c:v>33.581714409251383</c:v>
                </c:pt>
                <c:pt idx="9">
                  <c:v>35.63847798457617</c:v>
                </c:pt>
                <c:pt idx="10">
                  <c:v>37.594075272103836</c:v>
                </c:pt>
                <c:pt idx="11">
                  <c:v>39.463256294741541</c:v>
                </c:pt>
                <c:pt idx="12">
                  <c:v>41.257486513058623</c:v>
                </c:pt>
                <c:pt idx="13">
                  <c:v>42.985880586553627</c:v>
                </c:pt>
                <c:pt idx="14">
                  <c:v>44.655820763921867</c:v>
                </c:pt>
                <c:pt idx="15">
                  <c:v>46.273380994513502</c:v>
                </c:pt>
                <c:pt idx="16">
                  <c:v>47.84362647887513</c:v>
                </c:pt>
                <c:pt idx="17">
                  <c:v>49.370830616913544</c:v>
                </c:pt>
                <c:pt idx="18">
                  <c:v>50.858635572526865</c:v>
                </c:pt>
                <c:pt idx="19">
                  <c:v>52.310173375738167</c:v>
                </c:pt>
                <c:pt idx="20">
                  <c:v>53.728158793482727</c:v>
                </c:pt>
                <c:pt idx="21">
                  <c:v>55.114961609399309</c:v>
                </c:pt>
                <c:pt idx="22">
                  <c:v>56.472663624684088</c:v>
                </c:pt>
                <c:pt idx="23">
                  <c:v>57.803104145709426</c:v>
                </c:pt>
                <c:pt idx="24">
                  <c:v>59.107916674821169</c:v>
                </c:pt>
                <c:pt idx="25">
                  <c:v>60.388558794864835</c:v>
                </c:pt>
                <c:pt idx="26">
                  <c:v>61.646336727041806</c:v>
                </c:pt>
                <c:pt idx="27">
                  <c:v>62.882425676286481</c:v>
                </c:pt>
                <c:pt idx="28">
                  <c:v>64.097886813227674</c:v>
                </c:pt>
                <c:pt idx="29">
                  <c:v>65.293681546866893</c:v>
                </c:pt>
                <c:pt idx="30">
                  <c:v>66.470683597030046</c:v>
                </c:pt>
                <c:pt idx="31">
                  <c:v>67.629689266457149</c:v>
                </c:pt>
                <c:pt idx="32">
                  <c:v>68.771426229350041</c:v>
                </c:pt>
                <c:pt idx="33">
                  <c:v>69.896561089427905</c:v>
                </c:pt>
                <c:pt idx="34">
                  <c:v>71.005705911125517</c:v>
                </c:pt>
                <c:pt idx="35">
                  <c:v>72.099423888958285</c:v>
                </c:pt>
                <c:pt idx="36">
                  <c:v>73.178234289668211</c:v>
                </c:pt>
                <c:pt idx="37">
                  <c:v>74.242616777638233</c:v>
                </c:pt>
                <c:pt idx="38">
                  <c:v>75.293015214788412</c:v>
                </c:pt>
                <c:pt idx="39">
                  <c:v>76.329841010666684</c:v>
                </c:pt>
                <c:pt idx="40">
                  <c:v>77.353476085907047</c:v>
                </c:pt>
                <c:pt idx="41">
                  <c:v>78.364275502022139</c:v>
                </c:pt>
                <c:pt idx="42">
                  <c:v>79.362569802146254</c:v>
                </c:pt>
                <c:pt idx="43">
                  <c:v>80.348667100474742</c:v>
                </c:pt>
                <c:pt idx="44">
                  <c:v>81.322854952468376</c:v>
                </c:pt>
                <c:pt idx="45">
                  <c:v>82.285402033173554</c:v>
                </c:pt>
                <c:pt idx="46">
                  <c:v>83.23655964707622</c:v>
                </c:pt>
                <c:pt idx="47">
                  <c:v>84.176563089609772</c:v>
                </c:pt>
                <c:pt idx="48">
                  <c:v>85.105632877664803</c:v>
                </c:pt>
                <c:pt idx="49">
                  <c:v>86.023975864107015</c:v>
                </c:pt>
                <c:pt idx="50">
                  <c:v>86.931786249323849</c:v>
                </c:pt>
                <c:pt idx="51">
                  <c:v>87.829246501133113</c:v>
                </c:pt>
                <c:pt idx="52">
                  <c:v>88.716528192944338</c:v>
                </c:pt>
                <c:pt idx="53">
                  <c:v>89.593792768831122</c:v>
                </c:pt>
                <c:pt idx="54">
                  <c:v>90.461192243111412</c:v>
                </c:pt>
                <c:pt idx="55">
                  <c:v>91.318869841119891</c:v>
                </c:pt>
                <c:pt idx="56">
                  <c:v>92.166960587067805</c:v>
                </c:pt>
                <c:pt idx="57">
                  <c:v>93.005591844201106</c:v>
                </c:pt>
                <c:pt idx="58">
                  <c:v>93.834883811874548</c:v>
                </c:pt>
                <c:pt idx="59">
                  <c:v>94.654949983641686</c:v>
                </c:pt>
                <c:pt idx="60">
                  <c:v>95.465897570008636</c:v>
                </c:pt>
                <c:pt idx="61">
                  <c:v>96.267827889104723</c:v>
                </c:pt>
                <c:pt idx="62">
                  <c:v>97.060836728176</c:v>
                </c:pt>
                <c:pt idx="63">
                  <c:v>97.84501467850238</c:v>
                </c:pt>
                <c:pt idx="64">
                  <c:v>98.620447446071054</c:v>
                </c:pt>
                <c:pt idx="65">
                  <c:v>99.387216140100918</c:v>
                </c:pt>
                <c:pt idx="66">
                  <c:v>100.14539754130368</c:v>
                </c:pt>
                <c:pt idx="67">
                  <c:v>100.89506435158013</c:v>
                </c:pt>
                <c:pt idx="68">
                  <c:v>101.63628542668603</c:v>
                </c:pt>
                <c:pt idx="69">
                  <c:v>102.36912599325444</c:v>
                </c:pt>
                <c:pt idx="70">
                  <c:v>103.09364785142994</c:v>
                </c:pt>
                <c:pt idx="71">
                  <c:v>103.80990956425403</c:v>
                </c:pt>
                <c:pt idx="72">
                  <c:v>104.51796663483584</c:v>
                </c:pt>
                <c:pt idx="73">
                  <c:v>105.21787167224841</c:v>
                </c:pt>
                <c:pt idx="74">
                  <c:v>105.90967454700736</c:v>
                </c:pt>
                <c:pt idx="75">
                  <c:v>106.59342253691233</c:v>
                </c:pt>
                <c:pt idx="76">
                  <c:v>107.26916046396457</c:v>
                </c:pt>
                <c:pt idx="77">
                  <c:v>107.93693082301172</c:v>
                </c:pt>
                <c:pt idx="78">
                  <c:v>108.59677390271672</c:v>
                </c:pt>
                <c:pt idx="79">
                  <c:v>109.24872789939634</c:v>
                </c:pt>
                <c:pt idx="80">
                  <c:v>109.89282902423129</c:v>
                </c:pt>
                <c:pt idx="81">
                  <c:v>110.52911160430752</c:v>
                </c:pt>
                <c:pt idx="82">
                  <c:v>111.15760817791161</c:v>
                </c:pt>
                <c:pt idx="83">
                  <c:v>111.77834958447004</c:v>
                </c:pt>
                <c:pt idx="84">
                  <c:v>112.39136504949008</c:v>
                </c:pt>
                <c:pt idx="85">
                  <c:v>112.99668226483341</c:v>
                </c:pt>
                <c:pt idx="86">
                  <c:v>113.59432746462743</c:v>
                </c:pt>
                <c:pt idx="87">
                  <c:v>114.18432549709576</c:v>
                </c:pt>
                <c:pt idx="88">
                  <c:v>114.76669989256909</c:v>
                </c:pt>
                <c:pt idx="89">
                  <c:v>115.34147292791698</c:v>
                </c:pt>
                <c:pt idx="90">
                  <c:v>115.90866568762436</c:v>
                </c:pt>
                <c:pt idx="91">
                  <c:v>116.46829812171967</c:v>
                </c:pt>
                <c:pt idx="92">
                  <c:v>117.02038910074691</c:v>
                </c:pt>
                <c:pt idx="93">
                  <c:v>117.56495646795972</c:v>
                </c:pt>
                <c:pt idx="94">
                  <c:v>118.10201708890382</c:v>
                </c:pt>
                <c:pt idx="95">
                  <c:v>118.63158689854156</c:v>
                </c:pt>
                <c:pt idx="96">
                  <c:v>119.15368094606224</c:v>
                </c:pt>
                <c:pt idx="97">
                  <c:v>119.66831343751217</c:v>
                </c:pt>
                <c:pt idx="98">
                  <c:v>120.17549777636864</c:v>
                </c:pt>
                <c:pt idx="99">
                  <c:v>120.67524660217448</c:v>
                </c:pt>
                <c:pt idx="100">
                  <c:v>121.16757182734131</c:v>
                </c:pt>
                <c:pt idx="101">
                  <c:v>121.65248467222315</c:v>
                </c:pt>
                <c:pt idx="102">
                  <c:v>122.12999569855495</c:v>
                </c:pt>
                <c:pt idx="103">
                  <c:v>122.60011484134459</c:v>
                </c:pt>
                <c:pt idx="104">
                  <c:v>123.06285143930137</c:v>
                </c:pt>
                <c:pt idx="105">
                  <c:v>123.51821426387851</c:v>
                </c:pt>
                <c:pt idx="106">
                  <c:v>123.9662115470024</c:v>
                </c:pt>
                <c:pt idx="107">
                  <c:v>124.40685100755695</c:v>
                </c:pt>
                <c:pt idx="108">
                  <c:v>124.84013987668665</c:v>
                </c:pt>
                <c:pt idx="109">
                  <c:v>125.26608492197875</c:v>
                </c:pt>
                <c:pt idx="110">
                  <c:v>125.68469247058056</c:v>
                </c:pt>
                <c:pt idx="111">
                  <c:v>126.09596843130527</c:v>
                </c:pt>
                <c:pt idx="112">
                  <c:v>126.49991831577549</c:v>
                </c:pt>
                <c:pt idx="113">
                  <c:v>126.89654725865185</c:v>
                </c:pt>
                <c:pt idx="114">
                  <c:v>127.28586003699034</c:v>
                </c:pt>
                <c:pt idx="115">
                  <c:v>127.66786108877018</c:v>
                </c:pt>
                <c:pt idx="116">
                  <c:v>128.04255453063075</c:v>
                </c:pt>
                <c:pt idx="117">
                  <c:v>128.40994417485504</c:v>
                </c:pt>
                <c:pt idx="118">
                  <c:v>128.77003354563357</c:v>
                </c:pt>
                <c:pt idx="119">
                  <c:v>129.12282589464209</c:v>
                </c:pt>
                <c:pt idx="120">
                  <c:v>129.46832421596358</c:v>
                </c:pt>
                <c:pt idx="121">
                  <c:v>129.80653126038342</c:v>
                </c:pt>
                <c:pt idx="122">
                  <c:v>130.1374495490858</c:v>
                </c:pt>
                <c:pt idx="123">
                  <c:v>130.46108138677661</c:v>
                </c:pt>
                <c:pt idx="124">
                  <c:v>130.77742887425796</c:v>
                </c:pt>
                <c:pt idx="125">
                  <c:v>131.08649392047673</c:v>
                </c:pt>
                <c:pt idx="126">
                  <c:v>131.38827825406975</c:v>
                </c:pt>
                <c:pt idx="127">
                  <c:v>131.68278343442572</c:v>
                </c:pt>
                <c:pt idx="128">
                  <c:v>131.97001086228366</c:v>
                </c:pt>
                <c:pt idx="129">
                  <c:v>132.24996178988624</c:v>
                </c:pt>
                <c:pt idx="130">
                  <c:v>132.52263733070566</c:v>
                </c:pt>
                <c:pt idx="131">
                  <c:v>132.78803846875823</c:v>
                </c:pt>
                <c:pt idx="132">
                  <c:v>133.04616606752367</c:v>
                </c:pt>
                <c:pt idx="133">
                  <c:v>133.29702087848383</c:v>
                </c:pt>
                <c:pt idx="134">
                  <c:v>133.54060354929439</c:v>
                </c:pt>
                <c:pt idx="135">
                  <c:v>133.7769146316034</c:v>
                </c:pt>
                <c:pt idx="136">
                  <c:v>134.00595458852882</c:v>
                </c:pt>
                <c:pt idx="137">
                  <c:v>134.22772380180683</c:v>
                </c:pt>
                <c:pt idx="138">
                  <c:v>134.44222257862242</c:v>
                </c:pt>
                <c:pt idx="139">
                  <c:v>134.64945115813248</c:v>
                </c:pt>
                <c:pt idx="140">
                  <c:v>134.84940971769171</c:v>
                </c:pt>
                <c:pt idx="141">
                  <c:v>135.04209837879051</c:v>
                </c:pt>
                <c:pt idx="142">
                  <c:v>135.22751721271408</c:v>
                </c:pt>
                <c:pt idx="143">
                  <c:v>135.40566624593092</c:v>
                </c:pt>
                <c:pt idx="144">
                  <c:v>135.57654546521883</c:v>
                </c:pt>
                <c:pt idx="145">
                  <c:v>135.7401548225358</c:v>
                </c:pt>
                <c:pt idx="146">
                  <c:v>135.89649423964306</c:v>
                </c:pt>
                <c:pt idx="147">
                  <c:v>136.04556361248657</c:v>
                </c:pt>
                <c:pt idx="148">
                  <c:v>136.18736281534368</c:v>
                </c:pt>
                <c:pt idx="149">
                  <c:v>136.32189170474047</c:v>
                </c:pt>
                <c:pt idx="150">
                  <c:v>136.44915012314542</c:v>
                </c:pt>
                <c:pt idx="151">
                  <c:v>136.56913790244457</c:v>
                </c:pt>
                <c:pt idx="152">
                  <c:v>136.68185486720307</c:v>
                </c:pt>
                <c:pt idx="153">
                  <c:v>136.78730083771742</c:v>
                </c:pt>
                <c:pt idx="154">
                  <c:v>136.88547563286272</c:v>
                </c:pt>
                <c:pt idx="155">
                  <c:v>136.97637907273892</c:v>
                </c:pt>
                <c:pt idx="156">
                  <c:v>137.06001098111935</c:v>
                </c:pt>
                <c:pt idx="157">
                  <c:v>137.13637118770521</c:v>
                </c:pt>
                <c:pt idx="158">
                  <c:v>137.2054595301887</c:v>
                </c:pt>
                <c:pt idx="159">
                  <c:v>137.26727585612787</c:v>
                </c:pt>
                <c:pt idx="160">
                  <c:v>137.32182002463531</c:v>
                </c:pt>
                <c:pt idx="161">
                  <c:v>137.3690919078835</c:v>
                </c:pt>
                <c:pt idx="162">
                  <c:v>137.40909139242805</c:v>
                </c:pt>
                <c:pt idx="163">
                  <c:v>137.44181838035124</c:v>
                </c:pt>
                <c:pt idx="164">
                  <c:v>137.46727279022716</c:v>
                </c:pt>
                <c:pt idx="165">
                  <c:v>137.48545455790935</c:v>
                </c:pt>
                <c:pt idx="166">
                  <c:v>137.49636363714279</c:v>
                </c:pt>
                <c:pt idx="167">
                  <c:v>137.5</c:v>
                </c:pt>
                <c:pt idx="168">
                  <c:v>137.49636363714279</c:v>
                </c:pt>
                <c:pt idx="169">
                  <c:v>137.48545455790935</c:v>
                </c:pt>
                <c:pt idx="170">
                  <c:v>137.46727279022716</c:v>
                </c:pt>
                <c:pt idx="171">
                  <c:v>137.44181838035124</c:v>
                </c:pt>
                <c:pt idx="172">
                  <c:v>137.40909139242805</c:v>
                </c:pt>
                <c:pt idx="173">
                  <c:v>137.3690919078835</c:v>
                </c:pt>
                <c:pt idx="174">
                  <c:v>137.32182002463531</c:v>
                </c:pt>
                <c:pt idx="175">
                  <c:v>137.26727585612787</c:v>
                </c:pt>
                <c:pt idx="176">
                  <c:v>137.2054595301887</c:v>
                </c:pt>
                <c:pt idx="177">
                  <c:v>137.13637118770521</c:v>
                </c:pt>
                <c:pt idx="178">
                  <c:v>137.06001098111935</c:v>
                </c:pt>
                <c:pt idx="179">
                  <c:v>136.97637907273892</c:v>
                </c:pt>
                <c:pt idx="180">
                  <c:v>136.88547563286272</c:v>
                </c:pt>
                <c:pt idx="181">
                  <c:v>136.78730083771742</c:v>
                </c:pt>
                <c:pt idx="182">
                  <c:v>136.68185486720307</c:v>
                </c:pt>
                <c:pt idx="183">
                  <c:v>136.56913790244457</c:v>
                </c:pt>
                <c:pt idx="184">
                  <c:v>136.44915012314542</c:v>
                </c:pt>
                <c:pt idx="185">
                  <c:v>136.32189170474047</c:v>
                </c:pt>
                <c:pt idx="186">
                  <c:v>136.18736281534368</c:v>
                </c:pt>
                <c:pt idx="187">
                  <c:v>136.04556361248657</c:v>
                </c:pt>
                <c:pt idx="188">
                  <c:v>135.89649423964306</c:v>
                </c:pt>
                <c:pt idx="189">
                  <c:v>135.7401548225358</c:v>
                </c:pt>
                <c:pt idx="190">
                  <c:v>135.57654546521883</c:v>
                </c:pt>
                <c:pt idx="191">
                  <c:v>135.40566624593092</c:v>
                </c:pt>
                <c:pt idx="192">
                  <c:v>135.22751721271408</c:v>
                </c:pt>
                <c:pt idx="193">
                  <c:v>135.04209837879051</c:v>
                </c:pt>
                <c:pt idx="194">
                  <c:v>134.84940971769171</c:v>
                </c:pt>
                <c:pt idx="195">
                  <c:v>134.64945115813248</c:v>
                </c:pt>
                <c:pt idx="196">
                  <c:v>134.44222257862242</c:v>
                </c:pt>
                <c:pt idx="197">
                  <c:v>134.22772380180683</c:v>
                </c:pt>
                <c:pt idx="198">
                  <c:v>134.00595458852882</c:v>
                </c:pt>
                <c:pt idx="199">
                  <c:v>133.7769146316034</c:v>
                </c:pt>
                <c:pt idx="200">
                  <c:v>133.54060354929439</c:v>
                </c:pt>
                <c:pt idx="201">
                  <c:v>133.29702087848383</c:v>
                </c:pt>
                <c:pt idx="202">
                  <c:v>133.04616606752367</c:v>
                </c:pt>
                <c:pt idx="203">
                  <c:v>132.78803846875823</c:v>
                </c:pt>
                <c:pt idx="204">
                  <c:v>132.52263733070566</c:v>
                </c:pt>
                <c:pt idx="205">
                  <c:v>132.24996178988624</c:v>
                </c:pt>
                <c:pt idx="206">
                  <c:v>131.97001086228366</c:v>
                </c:pt>
                <c:pt idx="207">
                  <c:v>131.68278343442572</c:v>
                </c:pt>
                <c:pt idx="208">
                  <c:v>131.38827825406975</c:v>
                </c:pt>
                <c:pt idx="209">
                  <c:v>131.08649392047673</c:v>
                </c:pt>
                <c:pt idx="210">
                  <c:v>130.77742887425796</c:v>
                </c:pt>
                <c:pt idx="211">
                  <c:v>130.46108138677661</c:v>
                </c:pt>
                <c:pt idx="212">
                  <c:v>130.1374495490858</c:v>
                </c:pt>
                <c:pt idx="213">
                  <c:v>129.80653126038342</c:v>
                </c:pt>
                <c:pt idx="214">
                  <c:v>129.46832421596358</c:v>
                </c:pt>
                <c:pt idx="215">
                  <c:v>129.12282589464209</c:v>
                </c:pt>
                <c:pt idx="216">
                  <c:v>128.77003354563357</c:v>
                </c:pt>
                <c:pt idx="217">
                  <c:v>128.40994417485504</c:v>
                </c:pt>
                <c:pt idx="218">
                  <c:v>128.04255453063075</c:v>
                </c:pt>
                <c:pt idx="219">
                  <c:v>127.66786108877018</c:v>
                </c:pt>
                <c:pt idx="220">
                  <c:v>127.28586003699034</c:v>
                </c:pt>
                <c:pt idx="221">
                  <c:v>126.89654725865185</c:v>
                </c:pt>
                <c:pt idx="222">
                  <c:v>126.49991831577549</c:v>
                </c:pt>
                <c:pt idx="223">
                  <c:v>126.09596843130527</c:v>
                </c:pt>
                <c:pt idx="224">
                  <c:v>125.68469247058056</c:v>
                </c:pt>
                <c:pt idx="225">
                  <c:v>125.26608492197875</c:v>
                </c:pt>
                <c:pt idx="226">
                  <c:v>124.84013987668665</c:v>
                </c:pt>
                <c:pt idx="227">
                  <c:v>124.40685100755695</c:v>
                </c:pt>
                <c:pt idx="228">
                  <c:v>123.9662115470024</c:v>
                </c:pt>
                <c:pt idx="229">
                  <c:v>123.51821426387851</c:v>
                </c:pt>
                <c:pt idx="230">
                  <c:v>123.06285143930137</c:v>
                </c:pt>
                <c:pt idx="231">
                  <c:v>122.60011484134459</c:v>
                </c:pt>
                <c:pt idx="232">
                  <c:v>122.12999569855495</c:v>
                </c:pt>
                <c:pt idx="233">
                  <c:v>121.65248467222315</c:v>
                </c:pt>
                <c:pt idx="234">
                  <c:v>121.16757182734131</c:v>
                </c:pt>
                <c:pt idx="235">
                  <c:v>120.67524660217448</c:v>
                </c:pt>
                <c:pt idx="236">
                  <c:v>120.17549777636864</c:v>
                </c:pt>
                <c:pt idx="237">
                  <c:v>119.66831343751217</c:v>
                </c:pt>
                <c:pt idx="238">
                  <c:v>119.15368094606224</c:v>
                </c:pt>
                <c:pt idx="239">
                  <c:v>118.63158689854156</c:v>
                </c:pt>
                <c:pt idx="240">
                  <c:v>118.10201708890382</c:v>
                </c:pt>
                <c:pt idx="241">
                  <c:v>117.56495646795972</c:v>
                </c:pt>
                <c:pt idx="242">
                  <c:v>117.02038910074691</c:v>
                </c:pt>
                <c:pt idx="243">
                  <c:v>116.46829812171967</c:v>
                </c:pt>
                <c:pt idx="244">
                  <c:v>115.90866568762436</c:v>
                </c:pt>
                <c:pt idx="245">
                  <c:v>115.34147292791698</c:v>
                </c:pt>
                <c:pt idx="246">
                  <c:v>114.76669989256909</c:v>
                </c:pt>
                <c:pt idx="247">
                  <c:v>114.18432549709576</c:v>
                </c:pt>
                <c:pt idx="248">
                  <c:v>113.59432746462743</c:v>
                </c:pt>
                <c:pt idx="249">
                  <c:v>112.99668226483341</c:v>
                </c:pt>
                <c:pt idx="250">
                  <c:v>112.39136504949008</c:v>
                </c:pt>
                <c:pt idx="251">
                  <c:v>111.77834958447004</c:v>
                </c:pt>
                <c:pt idx="252">
                  <c:v>111.15760817791161</c:v>
                </c:pt>
                <c:pt idx="253">
                  <c:v>110.52911160430752</c:v>
                </c:pt>
                <c:pt idx="254">
                  <c:v>109.89282902423129</c:v>
                </c:pt>
                <c:pt idx="255">
                  <c:v>109.24872789939634</c:v>
                </c:pt>
                <c:pt idx="256">
                  <c:v>108.59677390271672</c:v>
                </c:pt>
                <c:pt idx="257">
                  <c:v>107.93693082301172</c:v>
                </c:pt>
                <c:pt idx="258">
                  <c:v>107.26916046396457</c:v>
                </c:pt>
                <c:pt idx="259">
                  <c:v>106.59342253691233</c:v>
                </c:pt>
                <c:pt idx="260">
                  <c:v>105.90967454700736</c:v>
                </c:pt>
                <c:pt idx="261">
                  <c:v>105.21787167224841</c:v>
                </c:pt>
                <c:pt idx="262">
                  <c:v>104.51796663483584</c:v>
                </c:pt>
                <c:pt idx="263">
                  <c:v>103.80990956425403</c:v>
                </c:pt>
                <c:pt idx="264">
                  <c:v>103.09364785142994</c:v>
                </c:pt>
                <c:pt idx="265">
                  <c:v>102.36912599325444</c:v>
                </c:pt>
                <c:pt idx="266">
                  <c:v>101.63628542668603</c:v>
                </c:pt>
                <c:pt idx="267">
                  <c:v>100.89506435158013</c:v>
                </c:pt>
                <c:pt idx="268">
                  <c:v>100.14539754130368</c:v>
                </c:pt>
                <c:pt idx="269">
                  <c:v>99.387216140100918</c:v>
                </c:pt>
                <c:pt idx="270">
                  <c:v>98.620447446071054</c:v>
                </c:pt>
                <c:pt idx="271">
                  <c:v>97.84501467850238</c:v>
                </c:pt>
                <c:pt idx="272">
                  <c:v>97.060836728176</c:v>
                </c:pt>
                <c:pt idx="273">
                  <c:v>96.267827889104723</c:v>
                </c:pt>
                <c:pt idx="274">
                  <c:v>95.465897570008636</c:v>
                </c:pt>
                <c:pt idx="275">
                  <c:v>94.654949983641686</c:v>
                </c:pt>
                <c:pt idx="276">
                  <c:v>93.834883811874548</c:v>
                </c:pt>
                <c:pt idx="277">
                  <c:v>93.005591844201106</c:v>
                </c:pt>
                <c:pt idx="278">
                  <c:v>92.166960587067805</c:v>
                </c:pt>
                <c:pt idx="279">
                  <c:v>91.318869841119891</c:v>
                </c:pt>
                <c:pt idx="280">
                  <c:v>90.461192243111412</c:v>
                </c:pt>
                <c:pt idx="281">
                  <c:v>89.593792768831122</c:v>
                </c:pt>
                <c:pt idx="282">
                  <c:v>88.716528192944338</c:v>
                </c:pt>
                <c:pt idx="283">
                  <c:v>87.829246501133113</c:v>
                </c:pt>
                <c:pt idx="284">
                  <c:v>86.931786249323849</c:v>
                </c:pt>
                <c:pt idx="285">
                  <c:v>86.023975864107015</c:v>
                </c:pt>
                <c:pt idx="286">
                  <c:v>85.105632877664803</c:v>
                </c:pt>
                <c:pt idx="287">
                  <c:v>84.176563089609772</c:v>
                </c:pt>
                <c:pt idx="288">
                  <c:v>83.23655964707622</c:v>
                </c:pt>
                <c:pt idx="289">
                  <c:v>82.285402033173554</c:v>
                </c:pt>
                <c:pt idx="290">
                  <c:v>81.322854952468376</c:v>
                </c:pt>
                <c:pt idx="291">
                  <c:v>80.348667100474742</c:v>
                </c:pt>
                <c:pt idx="292">
                  <c:v>79.362569802146254</c:v>
                </c:pt>
                <c:pt idx="293">
                  <c:v>78.364275502022139</c:v>
                </c:pt>
                <c:pt idx="294">
                  <c:v>77.353476085907047</c:v>
                </c:pt>
                <c:pt idx="295">
                  <c:v>76.329841010666684</c:v>
                </c:pt>
                <c:pt idx="296">
                  <c:v>75.293015214788412</c:v>
                </c:pt>
                <c:pt idx="297">
                  <c:v>74.242616777638233</c:v>
                </c:pt>
                <c:pt idx="298">
                  <c:v>73.178234289668211</c:v>
                </c:pt>
                <c:pt idx="299">
                  <c:v>72.099423888958285</c:v>
                </c:pt>
                <c:pt idx="300">
                  <c:v>71.005705911125517</c:v>
                </c:pt>
                <c:pt idx="301">
                  <c:v>69.896561089427905</c:v>
                </c:pt>
                <c:pt idx="302">
                  <c:v>68.771426229350041</c:v>
                </c:pt>
                <c:pt idx="303">
                  <c:v>67.629689266457149</c:v>
                </c:pt>
                <c:pt idx="304">
                  <c:v>66.470683597030046</c:v>
                </c:pt>
                <c:pt idx="305">
                  <c:v>65.293681546866893</c:v>
                </c:pt>
                <c:pt idx="306">
                  <c:v>64.097886813227674</c:v>
                </c:pt>
                <c:pt idx="307">
                  <c:v>62.882425676286481</c:v>
                </c:pt>
                <c:pt idx="308">
                  <c:v>61.646336727041806</c:v>
                </c:pt>
                <c:pt idx="309">
                  <c:v>60.388558794864835</c:v>
                </c:pt>
                <c:pt idx="310">
                  <c:v>59.107916674821169</c:v>
                </c:pt>
                <c:pt idx="311">
                  <c:v>57.803104145709426</c:v>
                </c:pt>
                <c:pt idx="312">
                  <c:v>56.472663624684088</c:v>
                </c:pt>
                <c:pt idx="313">
                  <c:v>55.114961609399309</c:v>
                </c:pt>
                <c:pt idx="314">
                  <c:v>53.728158793482727</c:v>
                </c:pt>
                <c:pt idx="315">
                  <c:v>52.310173375738167</c:v>
                </c:pt>
                <c:pt idx="316">
                  <c:v>50.858635572526865</c:v>
                </c:pt>
                <c:pt idx="317">
                  <c:v>49.370830616913544</c:v>
                </c:pt>
                <c:pt idx="318">
                  <c:v>47.84362647887513</c:v>
                </c:pt>
                <c:pt idx="319">
                  <c:v>46.273380994513502</c:v>
                </c:pt>
                <c:pt idx="320">
                  <c:v>44.655820763921867</c:v>
                </c:pt>
                <c:pt idx="321">
                  <c:v>42.985880586553627</c:v>
                </c:pt>
                <c:pt idx="322">
                  <c:v>41.257486513058623</c:v>
                </c:pt>
                <c:pt idx="323">
                  <c:v>39.463256294741541</c:v>
                </c:pt>
                <c:pt idx="324">
                  <c:v>37.594075272103836</c:v>
                </c:pt>
                <c:pt idx="325">
                  <c:v>35.63847798457617</c:v>
                </c:pt>
                <c:pt idx="326">
                  <c:v>33.581714409251383</c:v>
                </c:pt>
                <c:pt idx="327">
                  <c:v>31.404279025742696</c:v>
                </c:pt>
                <c:pt idx="328">
                  <c:v>29.079469139226951</c:v>
                </c:pt>
                <c:pt idx="329">
                  <c:v>26.569052844883974</c:v>
                </c:pt>
                <c:pt idx="330">
                  <c:v>23.814877671828768</c:v>
                </c:pt>
                <c:pt idx="331">
                  <c:v>20.720506496455897</c:v>
                </c:pt>
                <c:pt idx="332">
                  <c:v>17.102916805956031</c:v>
                </c:pt>
                <c:pt idx="333">
                  <c:v>12.517251430212802</c:v>
                </c:pt>
                <c:pt idx="334">
                  <c:v>4.6772589957931103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FC-443E-B409-6F79D323CCF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Cirkel!$A$2:$A$336</c:f>
              <c:numCache>
                <c:formatCode>General</c:formatCode>
                <c:ptCount val="335"/>
                <c:pt idx="0">
                  <c:v>-167</c:v>
                </c:pt>
                <c:pt idx="1">
                  <c:v>-166</c:v>
                </c:pt>
                <c:pt idx="2">
                  <c:v>-165</c:v>
                </c:pt>
                <c:pt idx="3">
                  <c:v>-164</c:v>
                </c:pt>
                <c:pt idx="4">
                  <c:v>-163</c:v>
                </c:pt>
                <c:pt idx="5">
                  <c:v>-162</c:v>
                </c:pt>
                <c:pt idx="6">
                  <c:v>-161</c:v>
                </c:pt>
                <c:pt idx="7">
                  <c:v>-160</c:v>
                </c:pt>
                <c:pt idx="8">
                  <c:v>-159</c:v>
                </c:pt>
                <c:pt idx="9">
                  <c:v>-158</c:v>
                </c:pt>
                <c:pt idx="10">
                  <c:v>-157</c:v>
                </c:pt>
                <c:pt idx="11">
                  <c:v>-156</c:v>
                </c:pt>
                <c:pt idx="12">
                  <c:v>-155</c:v>
                </c:pt>
                <c:pt idx="13">
                  <c:v>-154</c:v>
                </c:pt>
                <c:pt idx="14">
                  <c:v>-153</c:v>
                </c:pt>
                <c:pt idx="15">
                  <c:v>-152</c:v>
                </c:pt>
                <c:pt idx="16">
                  <c:v>-151</c:v>
                </c:pt>
                <c:pt idx="17">
                  <c:v>-150</c:v>
                </c:pt>
                <c:pt idx="18">
                  <c:v>-149</c:v>
                </c:pt>
                <c:pt idx="19">
                  <c:v>-148</c:v>
                </c:pt>
                <c:pt idx="20">
                  <c:v>-147</c:v>
                </c:pt>
                <c:pt idx="21">
                  <c:v>-146</c:v>
                </c:pt>
                <c:pt idx="22">
                  <c:v>-145</c:v>
                </c:pt>
                <c:pt idx="23">
                  <c:v>-144</c:v>
                </c:pt>
                <c:pt idx="24">
                  <c:v>-143</c:v>
                </c:pt>
                <c:pt idx="25">
                  <c:v>-142</c:v>
                </c:pt>
                <c:pt idx="26">
                  <c:v>-141</c:v>
                </c:pt>
                <c:pt idx="27">
                  <c:v>-140</c:v>
                </c:pt>
                <c:pt idx="28">
                  <c:v>-139</c:v>
                </c:pt>
                <c:pt idx="29">
                  <c:v>-138</c:v>
                </c:pt>
                <c:pt idx="30">
                  <c:v>-137</c:v>
                </c:pt>
                <c:pt idx="31">
                  <c:v>-136</c:v>
                </c:pt>
                <c:pt idx="32">
                  <c:v>-135</c:v>
                </c:pt>
                <c:pt idx="33">
                  <c:v>-134</c:v>
                </c:pt>
                <c:pt idx="34">
                  <c:v>-133</c:v>
                </c:pt>
                <c:pt idx="35">
                  <c:v>-132</c:v>
                </c:pt>
                <c:pt idx="36">
                  <c:v>-131</c:v>
                </c:pt>
                <c:pt idx="37">
                  <c:v>-130</c:v>
                </c:pt>
                <c:pt idx="38">
                  <c:v>-129</c:v>
                </c:pt>
                <c:pt idx="39">
                  <c:v>-128</c:v>
                </c:pt>
                <c:pt idx="40">
                  <c:v>-127</c:v>
                </c:pt>
                <c:pt idx="41">
                  <c:v>-126</c:v>
                </c:pt>
                <c:pt idx="42">
                  <c:v>-125</c:v>
                </c:pt>
                <c:pt idx="43">
                  <c:v>-124</c:v>
                </c:pt>
                <c:pt idx="44">
                  <c:v>-123</c:v>
                </c:pt>
                <c:pt idx="45">
                  <c:v>-122</c:v>
                </c:pt>
                <c:pt idx="46">
                  <c:v>-121</c:v>
                </c:pt>
                <c:pt idx="47">
                  <c:v>-120</c:v>
                </c:pt>
                <c:pt idx="48">
                  <c:v>-119</c:v>
                </c:pt>
                <c:pt idx="49">
                  <c:v>-118</c:v>
                </c:pt>
                <c:pt idx="50">
                  <c:v>-117</c:v>
                </c:pt>
                <c:pt idx="51">
                  <c:v>-116</c:v>
                </c:pt>
                <c:pt idx="52">
                  <c:v>-115</c:v>
                </c:pt>
                <c:pt idx="53">
                  <c:v>-114</c:v>
                </c:pt>
                <c:pt idx="54">
                  <c:v>-113</c:v>
                </c:pt>
                <c:pt idx="55">
                  <c:v>-112</c:v>
                </c:pt>
                <c:pt idx="56">
                  <c:v>-111</c:v>
                </c:pt>
                <c:pt idx="57">
                  <c:v>-110</c:v>
                </c:pt>
                <c:pt idx="58">
                  <c:v>-109</c:v>
                </c:pt>
                <c:pt idx="59">
                  <c:v>-108</c:v>
                </c:pt>
                <c:pt idx="60">
                  <c:v>-107</c:v>
                </c:pt>
                <c:pt idx="61">
                  <c:v>-106</c:v>
                </c:pt>
                <c:pt idx="62">
                  <c:v>-105</c:v>
                </c:pt>
                <c:pt idx="63">
                  <c:v>-104</c:v>
                </c:pt>
                <c:pt idx="64">
                  <c:v>-103</c:v>
                </c:pt>
                <c:pt idx="65">
                  <c:v>-102</c:v>
                </c:pt>
                <c:pt idx="66">
                  <c:v>-101</c:v>
                </c:pt>
                <c:pt idx="67">
                  <c:v>-100</c:v>
                </c:pt>
                <c:pt idx="68">
                  <c:v>-99</c:v>
                </c:pt>
                <c:pt idx="69">
                  <c:v>-98</c:v>
                </c:pt>
                <c:pt idx="70">
                  <c:v>-97</c:v>
                </c:pt>
                <c:pt idx="71">
                  <c:v>-96</c:v>
                </c:pt>
                <c:pt idx="72">
                  <c:v>-95</c:v>
                </c:pt>
                <c:pt idx="73">
                  <c:v>-94</c:v>
                </c:pt>
                <c:pt idx="74">
                  <c:v>-93</c:v>
                </c:pt>
                <c:pt idx="75">
                  <c:v>-92</c:v>
                </c:pt>
                <c:pt idx="76">
                  <c:v>-91</c:v>
                </c:pt>
                <c:pt idx="77">
                  <c:v>-90</c:v>
                </c:pt>
                <c:pt idx="78">
                  <c:v>-89</c:v>
                </c:pt>
                <c:pt idx="79">
                  <c:v>-88</c:v>
                </c:pt>
                <c:pt idx="80">
                  <c:v>-87</c:v>
                </c:pt>
                <c:pt idx="81">
                  <c:v>-86</c:v>
                </c:pt>
                <c:pt idx="82">
                  <c:v>-85</c:v>
                </c:pt>
                <c:pt idx="83">
                  <c:v>-84</c:v>
                </c:pt>
                <c:pt idx="84">
                  <c:v>-83</c:v>
                </c:pt>
                <c:pt idx="85">
                  <c:v>-82</c:v>
                </c:pt>
                <c:pt idx="86">
                  <c:v>-81</c:v>
                </c:pt>
                <c:pt idx="87">
                  <c:v>-80</c:v>
                </c:pt>
                <c:pt idx="88">
                  <c:v>-79</c:v>
                </c:pt>
                <c:pt idx="89">
                  <c:v>-78</c:v>
                </c:pt>
                <c:pt idx="90">
                  <c:v>-77</c:v>
                </c:pt>
                <c:pt idx="91">
                  <c:v>-76</c:v>
                </c:pt>
                <c:pt idx="92">
                  <c:v>-75</c:v>
                </c:pt>
                <c:pt idx="93">
                  <c:v>-74</c:v>
                </c:pt>
                <c:pt idx="94">
                  <c:v>-73</c:v>
                </c:pt>
                <c:pt idx="95">
                  <c:v>-72</c:v>
                </c:pt>
                <c:pt idx="96">
                  <c:v>-71</c:v>
                </c:pt>
                <c:pt idx="97">
                  <c:v>-70</c:v>
                </c:pt>
                <c:pt idx="98">
                  <c:v>-69</c:v>
                </c:pt>
                <c:pt idx="99">
                  <c:v>-68</c:v>
                </c:pt>
                <c:pt idx="100">
                  <c:v>-67</c:v>
                </c:pt>
                <c:pt idx="101">
                  <c:v>-66</c:v>
                </c:pt>
                <c:pt idx="102">
                  <c:v>-65</c:v>
                </c:pt>
                <c:pt idx="103">
                  <c:v>-64</c:v>
                </c:pt>
                <c:pt idx="104">
                  <c:v>-63</c:v>
                </c:pt>
                <c:pt idx="105">
                  <c:v>-62</c:v>
                </c:pt>
                <c:pt idx="106">
                  <c:v>-61</c:v>
                </c:pt>
                <c:pt idx="107">
                  <c:v>-60</c:v>
                </c:pt>
                <c:pt idx="108">
                  <c:v>-59</c:v>
                </c:pt>
                <c:pt idx="109">
                  <c:v>-58</c:v>
                </c:pt>
                <c:pt idx="110">
                  <c:v>-57</c:v>
                </c:pt>
                <c:pt idx="111">
                  <c:v>-56</c:v>
                </c:pt>
                <c:pt idx="112">
                  <c:v>-55</c:v>
                </c:pt>
                <c:pt idx="113">
                  <c:v>-54</c:v>
                </c:pt>
                <c:pt idx="114">
                  <c:v>-53</c:v>
                </c:pt>
                <c:pt idx="115">
                  <c:v>-52</c:v>
                </c:pt>
                <c:pt idx="116">
                  <c:v>-51</c:v>
                </c:pt>
                <c:pt idx="117">
                  <c:v>-50</c:v>
                </c:pt>
                <c:pt idx="118">
                  <c:v>-49</c:v>
                </c:pt>
                <c:pt idx="119">
                  <c:v>-48</c:v>
                </c:pt>
                <c:pt idx="120">
                  <c:v>-47</c:v>
                </c:pt>
                <c:pt idx="121">
                  <c:v>-46</c:v>
                </c:pt>
                <c:pt idx="122">
                  <c:v>-45</c:v>
                </c:pt>
                <c:pt idx="123">
                  <c:v>-44</c:v>
                </c:pt>
                <c:pt idx="124">
                  <c:v>-43</c:v>
                </c:pt>
                <c:pt idx="125">
                  <c:v>-42</c:v>
                </c:pt>
                <c:pt idx="126">
                  <c:v>-41</c:v>
                </c:pt>
                <c:pt idx="127">
                  <c:v>-40</c:v>
                </c:pt>
                <c:pt idx="128">
                  <c:v>-39</c:v>
                </c:pt>
                <c:pt idx="129">
                  <c:v>-38</c:v>
                </c:pt>
                <c:pt idx="130">
                  <c:v>-37</c:v>
                </c:pt>
                <c:pt idx="131">
                  <c:v>-36</c:v>
                </c:pt>
                <c:pt idx="132">
                  <c:v>-35</c:v>
                </c:pt>
                <c:pt idx="133">
                  <c:v>-34</c:v>
                </c:pt>
                <c:pt idx="134">
                  <c:v>-33</c:v>
                </c:pt>
                <c:pt idx="135">
                  <c:v>-32</c:v>
                </c:pt>
                <c:pt idx="136">
                  <c:v>-31</c:v>
                </c:pt>
                <c:pt idx="137">
                  <c:v>-30</c:v>
                </c:pt>
                <c:pt idx="138">
                  <c:v>-29</c:v>
                </c:pt>
                <c:pt idx="139">
                  <c:v>-28</c:v>
                </c:pt>
                <c:pt idx="140">
                  <c:v>-27</c:v>
                </c:pt>
                <c:pt idx="141">
                  <c:v>-26</c:v>
                </c:pt>
                <c:pt idx="142">
                  <c:v>-25</c:v>
                </c:pt>
                <c:pt idx="143">
                  <c:v>-24</c:v>
                </c:pt>
                <c:pt idx="144">
                  <c:v>-23</c:v>
                </c:pt>
                <c:pt idx="145">
                  <c:v>-22</c:v>
                </c:pt>
                <c:pt idx="146">
                  <c:v>-21</c:v>
                </c:pt>
                <c:pt idx="147">
                  <c:v>-20</c:v>
                </c:pt>
                <c:pt idx="148">
                  <c:v>-19</c:v>
                </c:pt>
                <c:pt idx="149">
                  <c:v>-18</c:v>
                </c:pt>
                <c:pt idx="150">
                  <c:v>-17</c:v>
                </c:pt>
                <c:pt idx="151">
                  <c:v>-16</c:v>
                </c:pt>
                <c:pt idx="152">
                  <c:v>-15</c:v>
                </c:pt>
                <c:pt idx="153">
                  <c:v>-14</c:v>
                </c:pt>
                <c:pt idx="154">
                  <c:v>-13</c:v>
                </c:pt>
                <c:pt idx="155">
                  <c:v>-12</c:v>
                </c:pt>
                <c:pt idx="156">
                  <c:v>-11</c:v>
                </c:pt>
                <c:pt idx="157">
                  <c:v>-10</c:v>
                </c:pt>
                <c:pt idx="158">
                  <c:v>-9</c:v>
                </c:pt>
                <c:pt idx="159">
                  <c:v>-8</c:v>
                </c:pt>
                <c:pt idx="160">
                  <c:v>-7</c:v>
                </c:pt>
                <c:pt idx="161">
                  <c:v>-6</c:v>
                </c:pt>
                <c:pt idx="162">
                  <c:v>-5</c:v>
                </c:pt>
                <c:pt idx="163">
                  <c:v>-4</c:v>
                </c:pt>
                <c:pt idx="164">
                  <c:v>-3</c:v>
                </c:pt>
                <c:pt idx="165">
                  <c:v>-2</c:v>
                </c:pt>
                <c:pt idx="166">
                  <c:v>-1</c:v>
                </c:pt>
                <c:pt idx="167">
                  <c:v>0</c:v>
                </c:pt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5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9</c:v>
                </c:pt>
                <c:pt idx="177">
                  <c:v>10</c:v>
                </c:pt>
                <c:pt idx="178">
                  <c:v>11</c:v>
                </c:pt>
                <c:pt idx="179">
                  <c:v>12</c:v>
                </c:pt>
                <c:pt idx="180">
                  <c:v>13</c:v>
                </c:pt>
                <c:pt idx="181">
                  <c:v>14</c:v>
                </c:pt>
                <c:pt idx="182">
                  <c:v>15</c:v>
                </c:pt>
                <c:pt idx="183">
                  <c:v>16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21</c:v>
                </c:pt>
                <c:pt idx="189">
                  <c:v>22</c:v>
                </c:pt>
                <c:pt idx="190">
                  <c:v>23</c:v>
                </c:pt>
                <c:pt idx="191">
                  <c:v>24</c:v>
                </c:pt>
                <c:pt idx="192">
                  <c:v>25</c:v>
                </c:pt>
                <c:pt idx="193">
                  <c:v>26</c:v>
                </c:pt>
                <c:pt idx="194">
                  <c:v>27</c:v>
                </c:pt>
                <c:pt idx="195">
                  <c:v>28</c:v>
                </c:pt>
                <c:pt idx="196">
                  <c:v>29</c:v>
                </c:pt>
                <c:pt idx="197">
                  <c:v>30</c:v>
                </c:pt>
                <c:pt idx="198">
                  <c:v>31</c:v>
                </c:pt>
                <c:pt idx="199">
                  <c:v>32</c:v>
                </c:pt>
                <c:pt idx="200">
                  <c:v>33</c:v>
                </c:pt>
                <c:pt idx="201">
                  <c:v>34</c:v>
                </c:pt>
                <c:pt idx="202">
                  <c:v>35</c:v>
                </c:pt>
                <c:pt idx="203">
                  <c:v>36</c:v>
                </c:pt>
                <c:pt idx="204">
                  <c:v>37</c:v>
                </c:pt>
                <c:pt idx="205">
                  <c:v>38</c:v>
                </c:pt>
                <c:pt idx="206">
                  <c:v>39</c:v>
                </c:pt>
                <c:pt idx="207">
                  <c:v>40</c:v>
                </c:pt>
                <c:pt idx="208">
                  <c:v>41</c:v>
                </c:pt>
                <c:pt idx="209">
                  <c:v>42</c:v>
                </c:pt>
                <c:pt idx="210">
                  <c:v>43</c:v>
                </c:pt>
                <c:pt idx="211">
                  <c:v>44</c:v>
                </c:pt>
                <c:pt idx="212">
                  <c:v>45</c:v>
                </c:pt>
                <c:pt idx="213">
                  <c:v>46</c:v>
                </c:pt>
                <c:pt idx="214">
                  <c:v>47</c:v>
                </c:pt>
                <c:pt idx="215">
                  <c:v>48</c:v>
                </c:pt>
                <c:pt idx="216">
                  <c:v>49</c:v>
                </c:pt>
                <c:pt idx="217">
                  <c:v>50</c:v>
                </c:pt>
                <c:pt idx="218">
                  <c:v>51</c:v>
                </c:pt>
                <c:pt idx="219">
                  <c:v>52</c:v>
                </c:pt>
                <c:pt idx="220">
                  <c:v>53</c:v>
                </c:pt>
                <c:pt idx="221">
                  <c:v>54</c:v>
                </c:pt>
                <c:pt idx="222">
                  <c:v>55</c:v>
                </c:pt>
                <c:pt idx="223">
                  <c:v>56</c:v>
                </c:pt>
                <c:pt idx="224">
                  <c:v>57</c:v>
                </c:pt>
                <c:pt idx="225">
                  <c:v>58</c:v>
                </c:pt>
                <c:pt idx="226">
                  <c:v>59</c:v>
                </c:pt>
                <c:pt idx="227">
                  <c:v>60</c:v>
                </c:pt>
                <c:pt idx="228">
                  <c:v>61</c:v>
                </c:pt>
                <c:pt idx="229">
                  <c:v>62</c:v>
                </c:pt>
                <c:pt idx="230">
                  <c:v>63</c:v>
                </c:pt>
                <c:pt idx="231">
                  <c:v>64</c:v>
                </c:pt>
                <c:pt idx="232">
                  <c:v>65</c:v>
                </c:pt>
                <c:pt idx="233">
                  <c:v>66</c:v>
                </c:pt>
                <c:pt idx="234">
                  <c:v>67</c:v>
                </c:pt>
                <c:pt idx="235">
                  <c:v>68</c:v>
                </c:pt>
                <c:pt idx="236">
                  <c:v>69</c:v>
                </c:pt>
                <c:pt idx="237">
                  <c:v>70</c:v>
                </c:pt>
                <c:pt idx="238">
                  <c:v>71</c:v>
                </c:pt>
                <c:pt idx="239">
                  <c:v>72</c:v>
                </c:pt>
                <c:pt idx="240">
                  <c:v>73</c:v>
                </c:pt>
                <c:pt idx="241">
                  <c:v>74</c:v>
                </c:pt>
                <c:pt idx="242">
                  <c:v>75</c:v>
                </c:pt>
                <c:pt idx="243">
                  <c:v>76</c:v>
                </c:pt>
                <c:pt idx="244">
                  <c:v>77</c:v>
                </c:pt>
                <c:pt idx="245">
                  <c:v>78</c:v>
                </c:pt>
                <c:pt idx="246">
                  <c:v>79</c:v>
                </c:pt>
                <c:pt idx="247">
                  <c:v>80</c:v>
                </c:pt>
                <c:pt idx="248">
                  <c:v>81</c:v>
                </c:pt>
                <c:pt idx="249">
                  <c:v>82</c:v>
                </c:pt>
                <c:pt idx="250">
                  <c:v>83</c:v>
                </c:pt>
                <c:pt idx="251">
                  <c:v>84</c:v>
                </c:pt>
                <c:pt idx="252">
                  <c:v>85</c:v>
                </c:pt>
                <c:pt idx="253">
                  <c:v>86</c:v>
                </c:pt>
                <c:pt idx="254">
                  <c:v>87</c:v>
                </c:pt>
                <c:pt idx="255">
                  <c:v>88</c:v>
                </c:pt>
                <c:pt idx="256">
                  <c:v>89</c:v>
                </c:pt>
                <c:pt idx="257">
                  <c:v>90</c:v>
                </c:pt>
                <c:pt idx="258">
                  <c:v>91</c:v>
                </c:pt>
                <c:pt idx="259">
                  <c:v>92</c:v>
                </c:pt>
                <c:pt idx="260">
                  <c:v>93</c:v>
                </c:pt>
                <c:pt idx="261">
                  <c:v>94</c:v>
                </c:pt>
                <c:pt idx="262">
                  <c:v>95</c:v>
                </c:pt>
                <c:pt idx="263">
                  <c:v>96</c:v>
                </c:pt>
                <c:pt idx="264">
                  <c:v>97</c:v>
                </c:pt>
                <c:pt idx="265">
                  <c:v>98</c:v>
                </c:pt>
                <c:pt idx="266">
                  <c:v>99</c:v>
                </c:pt>
                <c:pt idx="267">
                  <c:v>100</c:v>
                </c:pt>
                <c:pt idx="268">
                  <c:v>101</c:v>
                </c:pt>
                <c:pt idx="269">
                  <c:v>102</c:v>
                </c:pt>
                <c:pt idx="270">
                  <c:v>103</c:v>
                </c:pt>
                <c:pt idx="271">
                  <c:v>104</c:v>
                </c:pt>
                <c:pt idx="272">
                  <c:v>105</c:v>
                </c:pt>
                <c:pt idx="273">
                  <c:v>106</c:v>
                </c:pt>
                <c:pt idx="274">
                  <c:v>107</c:v>
                </c:pt>
                <c:pt idx="275">
                  <c:v>108</c:v>
                </c:pt>
                <c:pt idx="276">
                  <c:v>109</c:v>
                </c:pt>
                <c:pt idx="277">
                  <c:v>110</c:v>
                </c:pt>
                <c:pt idx="278">
                  <c:v>111</c:v>
                </c:pt>
                <c:pt idx="279">
                  <c:v>112</c:v>
                </c:pt>
                <c:pt idx="280">
                  <c:v>113</c:v>
                </c:pt>
                <c:pt idx="281">
                  <c:v>114</c:v>
                </c:pt>
                <c:pt idx="282">
                  <c:v>115</c:v>
                </c:pt>
                <c:pt idx="283">
                  <c:v>116</c:v>
                </c:pt>
                <c:pt idx="284">
                  <c:v>117</c:v>
                </c:pt>
                <c:pt idx="285">
                  <c:v>118</c:v>
                </c:pt>
                <c:pt idx="286">
                  <c:v>119</c:v>
                </c:pt>
                <c:pt idx="287">
                  <c:v>120</c:v>
                </c:pt>
                <c:pt idx="288">
                  <c:v>121</c:v>
                </c:pt>
                <c:pt idx="289">
                  <c:v>122</c:v>
                </c:pt>
                <c:pt idx="290">
                  <c:v>123</c:v>
                </c:pt>
                <c:pt idx="291">
                  <c:v>124</c:v>
                </c:pt>
                <c:pt idx="292">
                  <c:v>125</c:v>
                </c:pt>
                <c:pt idx="293">
                  <c:v>126</c:v>
                </c:pt>
                <c:pt idx="294">
                  <c:v>127</c:v>
                </c:pt>
                <c:pt idx="295">
                  <c:v>128</c:v>
                </c:pt>
                <c:pt idx="296">
                  <c:v>129</c:v>
                </c:pt>
                <c:pt idx="297">
                  <c:v>130</c:v>
                </c:pt>
                <c:pt idx="298">
                  <c:v>131</c:v>
                </c:pt>
                <c:pt idx="299">
                  <c:v>132</c:v>
                </c:pt>
                <c:pt idx="300">
                  <c:v>133</c:v>
                </c:pt>
                <c:pt idx="301">
                  <c:v>134</c:v>
                </c:pt>
                <c:pt idx="302">
                  <c:v>135</c:v>
                </c:pt>
                <c:pt idx="303">
                  <c:v>136</c:v>
                </c:pt>
                <c:pt idx="304">
                  <c:v>137</c:v>
                </c:pt>
                <c:pt idx="305">
                  <c:v>138</c:v>
                </c:pt>
                <c:pt idx="306">
                  <c:v>139</c:v>
                </c:pt>
                <c:pt idx="307">
                  <c:v>140</c:v>
                </c:pt>
                <c:pt idx="308">
                  <c:v>141</c:v>
                </c:pt>
                <c:pt idx="309">
                  <c:v>142</c:v>
                </c:pt>
                <c:pt idx="310">
                  <c:v>143</c:v>
                </c:pt>
                <c:pt idx="311">
                  <c:v>144</c:v>
                </c:pt>
                <c:pt idx="312">
                  <c:v>145</c:v>
                </c:pt>
                <c:pt idx="313">
                  <c:v>146</c:v>
                </c:pt>
                <c:pt idx="314">
                  <c:v>147</c:v>
                </c:pt>
                <c:pt idx="315">
                  <c:v>148</c:v>
                </c:pt>
                <c:pt idx="316">
                  <c:v>149</c:v>
                </c:pt>
                <c:pt idx="317">
                  <c:v>150</c:v>
                </c:pt>
                <c:pt idx="318">
                  <c:v>151</c:v>
                </c:pt>
                <c:pt idx="319">
                  <c:v>152</c:v>
                </c:pt>
                <c:pt idx="320">
                  <c:v>153</c:v>
                </c:pt>
                <c:pt idx="321">
                  <c:v>154</c:v>
                </c:pt>
                <c:pt idx="322">
                  <c:v>155</c:v>
                </c:pt>
                <c:pt idx="323">
                  <c:v>156</c:v>
                </c:pt>
                <c:pt idx="324">
                  <c:v>157</c:v>
                </c:pt>
                <c:pt idx="325">
                  <c:v>158</c:v>
                </c:pt>
                <c:pt idx="326">
                  <c:v>159</c:v>
                </c:pt>
                <c:pt idx="327">
                  <c:v>160</c:v>
                </c:pt>
                <c:pt idx="328">
                  <c:v>161</c:v>
                </c:pt>
                <c:pt idx="329">
                  <c:v>162</c:v>
                </c:pt>
                <c:pt idx="330">
                  <c:v>163</c:v>
                </c:pt>
                <c:pt idx="331">
                  <c:v>164</c:v>
                </c:pt>
                <c:pt idx="332">
                  <c:v>165</c:v>
                </c:pt>
                <c:pt idx="333">
                  <c:v>166</c:v>
                </c:pt>
                <c:pt idx="334">
                  <c:v>167</c:v>
                </c:pt>
              </c:numCache>
            </c:numRef>
          </c:xVal>
          <c:yVal>
            <c:numRef>
              <c:f>Cirkel!$C$2:$C$336</c:f>
              <c:numCache>
                <c:formatCode>General</c:formatCode>
                <c:ptCount val="335"/>
                <c:pt idx="0">
                  <c:v>-4.6772589957931103</c:v>
                </c:pt>
                <c:pt idx="1">
                  <c:v>-12.517251430212802</c:v>
                </c:pt>
                <c:pt idx="2">
                  <c:v>-17.102916805956031</c:v>
                </c:pt>
                <c:pt idx="3">
                  <c:v>-20.720506496455897</c:v>
                </c:pt>
                <c:pt idx="4">
                  <c:v>-23.814877671828768</c:v>
                </c:pt>
                <c:pt idx="5">
                  <c:v>-26.569052844883974</c:v>
                </c:pt>
                <c:pt idx="6">
                  <c:v>-29.079469139226951</c:v>
                </c:pt>
                <c:pt idx="7">
                  <c:v>-31.404279025742696</c:v>
                </c:pt>
                <c:pt idx="8">
                  <c:v>-33.581714409251383</c:v>
                </c:pt>
                <c:pt idx="9">
                  <c:v>-35.63847798457617</c:v>
                </c:pt>
                <c:pt idx="10">
                  <c:v>-37.594075272103836</c:v>
                </c:pt>
                <c:pt idx="11">
                  <c:v>-39.463256294741541</c:v>
                </c:pt>
                <c:pt idx="12">
                  <c:v>-41.257486513058623</c:v>
                </c:pt>
                <c:pt idx="13">
                  <c:v>-42.985880586553627</c:v>
                </c:pt>
                <c:pt idx="14">
                  <c:v>-44.655820763921867</c:v>
                </c:pt>
                <c:pt idx="15">
                  <c:v>-46.273380994513502</c:v>
                </c:pt>
                <c:pt idx="16">
                  <c:v>-47.84362647887513</c:v>
                </c:pt>
                <c:pt idx="17">
                  <c:v>-49.370830616913544</c:v>
                </c:pt>
                <c:pt idx="18">
                  <c:v>-50.858635572526865</c:v>
                </c:pt>
                <c:pt idx="19">
                  <c:v>-52.310173375738167</c:v>
                </c:pt>
                <c:pt idx="20">
                  <c:v>-53.728158793482727</c:v>
                </c:pt>
                <c:pt idx="21">
                  <c:v>-55.114961609399309</c:v>
                </c:pt>
                <c:pt idx="22">
                  <c:v>-56.472663624684088</c:v>
                </c:pt>
                <c:pt idx="23">
                  <c:v>-57.803104145709426</c:v>
                </c:pt>
                <c:pt idx="24">
                  <c:v>-59.107916674821169</c:v>
                </c:pt>
                <c:pt idx="25">
                  <c:v>-60.388558794864835</c:v>
                </c:pt>
                <c:pt idx="26">
                  <c:v>-61.646336727041806</c:v>
                </c:pt>
                <c:pt idx="27">
                  <c:v>-62.882425676286481</c:v>
                </c:pt>
                <c:pt idx="28">
                  <c:v>-64.097886813227674</c:v>
                </c:pt>
                <c:pt idx="29">
                  <c:v>-65.293681546866893</c:v>
                </c:pt>
                <c:pt idx="30">
                  <c:v>-66.470683597030046</c:v>
                </c:pt>
                <c:pt idx="31">
                  <c:v>-67.629689266457149</c:v>
                </c:pt>
                <c:pt idx="32">
                  <c:v>-68.771426229350041</c:v>
                </c:pt>
                <c:pt idx="33">
                  <c:v>-69.896561089427905</c:v>
                </c:pt>
                <c:pt idx="34">
                  <c:v>-71.005705911125517</c:v>
                </c:pt>
                <c:pt idx="35">
                  <c:v>-72.099423888958285</c:v>
                </c:pt>
                <c:pt idx="36">
                  <c:v>-73.178234289668211</c:v>
                </c:pt>
                <c:pt idx="37">
                  <c:v>-74.242616777638233</c:v>
                </c:pt>
                <c:pt idx="38">
                  <c:v>-75.293015214788412</c:v>
                </c:pt>
                <c:pt idx="39">
                  <c:v>-76.329841010666684</c:v>
                </c:pt>
                <c:pt idx="40">
                  <c:v>-77.353476085907047</c:v>
                </c:pt>
                <c:pt idx="41">
                  <c:v>-78.364275502022139</c:v>
                </c:pt>
                <c:pt idx="42">
                  <c:v>-79.362569802146254</c:v>
                </c:pt>
                <c:pt idx="43">
                  <c:v>-80.348667100474742</c:v>
                </c:pt>
                <c:pt idx="44">
                  <c:v>-81.322854952468376</c:v>
                </c:pt>
                <c:pt idx="45">
                  <c:v>-82.285402033173554</c:v>
                </c:pt>
                <c:pt idx="46">
                  <c:v>-83.23655964707622</c:v>
                </c:pt>
                <c:pt idx="47">
                  <c:v>-84.176563089609772</c:v>
                </c:pt>
                <c:pt idx="48">
                  <c:v>-85.105632877664803</c:v>
                </c:pt>
                <c:pt idx="49">
                  <c:v>-86.023975864107015</c:v>
                </c:pt>
                <c:pt idx="50">
                  <c:v>-86.931786249323849</c:v>
                </c:pt>
                <c:pt idx="51">
                  <c:v>-87.829246501133113</c:v>
                </c:pt>
                <c:pt idx="52">
                  <c:v>-88.716528192944338</c:v>
                </c:pt>
                <c:pt idx="53">
                  <c:v>-89.593792768831122</c:v>
                </c:pt>
                <c:pt idx="54">
                  <c:v>-90.461192243111412</c:v>
                </c:pt>
                <c:pt idx="55">
                  <c:v>-91.318869841119891</c:v>
                </c:pt>
                <c:pt idx="56">
                  <c:v>-92.166960587067805</c:v>
                </c:pt>
                <c:pt idx="57">
                  <c:v>-93.005591844201106</c:v>
                </c:pt>
                <c:pt idx="58">
                  <c:v>-93.834883811874548</c:v>
                </c:pt>
                <c:pt idx="59">
                  <c:v>-94.654949983641686</c:v>
                </c:pt>
                <c:pt idx="60">
                  <c:v>-95.465897570008636</c:v>
                </c:pt>
                <c:pt idx="61">
                  <c:v>-96.267827889104723</c:v>
                </c:pt>
                <c:pt idx="62">
                  <c:v>-97.060836728176</c:v>
                </c:pt>
                <c:pt idx="63">
                  <c:v>-97.84501467850238</c:v>
                </c:pt>
                <c:pt idx="64">
                  <c:v>-98.620447446071054</c:v>
                </c:pt>
                <c:pt idx="65">
                  <c:v>-99.387216140100918</c:v>
                </c:pt>
                <c:pt idx="66">
                  <c:v>-100.14539754130368</c:v>
                </c:pt>
                <c:pt idx="67">
                  <c:v>-100.89506435158013</c:v>
                </c:pt>
                <c:pt idx="68">
                  <c:v>-101.63628542668603</c:v>
                </c:pt>
                <c:pt idx="69">
                  <c:v>-102.36912599325444</c:v>
                </c:pt>
                <c:pt idx="70">
                  <c:v>-103.09364785142994</c:v>
                </c:pt>
                <c:pt idx="71">
                  <c:v>-103.80990956425403</c:v>
                </c:pt>
                <c:pt idx="72">
                  <c:v>-104.51796663483584</c:v>
                </c:pt>
                <c:pt idx="73">
                  <c:v>-105.21787167224841</c:v>
                </c:pt>
                <c:pt idx="74">
                  <c:v>-105.90967454700736</c:v>
                </c:pt>
                <c:pt idx="75">
                  <c:v>-106.59342253691233</c:v>
                </c:pt>
                <c:pt idx="76">
                  <c:v>-107.26916046396457</c:v>
                </c:pt>
                <c:pt idx="77">
                  <c:v>-107.93693082301172</c:v>
                </c:pt>
                <c:pt idx="78">
                  <c:v>-108.59677390271672</c:v>
                </c:pt>
                <c:pt idx="79">
                  <c:v>-109.24872789939634</c:v>
                </c:pt>
                <c:pt idx="80">
                  <c:v>-109.89282902423129</c:v>
                </c:pt>
                <c:pt idx="81">
                  <c:v>-110.52911160430752</c:v>
                </c:pt>
                <c:pt idx="82">
                  <c:v>-111.15760817791161</c:v>
                </c:pt>
                <c:pt idx="83">
                  <c:v>-111.77834958447004</c:v>
                </c:pt>
                <c:pt idx="84">
                  <c:v>-112.39136504949008</c:v>
                </c:pt>
                <c:pt idx="85">
                  <c:v>-112.99668226483341</c:v>
                </c:pt>
                <c:pt idx="86">
                  <c:v>-113.59432746462743</c:v>
                </c:pt>
                <c:pt idx="87">
                  <c:v>-114.18432549709576</c:v>
                </c:pt>
                <c:pt idx="88">
                  <c:v>-114.76669989256909</c:v>
                </c:pt>
                <c:pt idx="89">
                  <c:v>-115.34147292791698</c:v>
                </c:pt>
                <c:pt idx="90">
                  <c:v>-115.90866568762436</c:v>
                </c:pt>
                <c:pt idx="91">
                  <c:v>-116.46829812171967</c:v>
                </c:pt>
                <c:pt idx="92">
                  <c:v>-117.02038910074691</c:v>
                </c:pt>
                <c:pt idx="93">
                  <c:v>-117.56495646795972</c:v>
                </c:pt>
                <c:pt idx="94">
                  <c:v>-118.10201708890382</c:v>
                </c:pt>
                <c:pt idx="95">
                  <c:v>-118.63158689854156</c:v>
                </c:pt>
                <c:pt idx="96">
                  <c:v>-119.15368094606224</c:v>
                </c:pt>
                <c:pt idx="97">
                  <c:v>-119.66831343751217</c:v>
                </c:pt>
                <c:pt idx="98">
                  <c:v>-120.17549777636864</c:v>
                </c:pt>
                <c:pt idx="99">
                  <c:v>-120.67524660217448</c:v>
                </c:pt>
                <c:pt idx="100">
                  <c:v>-121.16757182734131</c:v>
                </c:pt>
                <c:pt idx="101">
                  <c:v>-121.65248467222315</c:v>
                </c:pt>
                <c:pt idx="102">
                  <c:v>-122.12999569855495</c:v>
                </c:pt>
                <c:pt idx="103">
                  <c:v>-122.60011484134459</c:v>
                </c:pt>
                <c:pt idx="104">
                  <c:v>-123.06285143930137</c:v>
                </c:pt>
                <c:pt idx="105">
                  <c:v>-123.51821426387851</c:v>
                </c:pt>
                <c:pt idx="106">
                  <c:v>-123.9662115470024</c:v>
                </c:pt>
                <c:pt idx="107">
                  <c:v>-124.40685100755695</c:v>
                </c:pt>
                <c:pt idx="108">
                  <c:v>-124.84013987668665</c:v>
                </c:pt>
                <c:pt idx="109">
                  <c:v>-125.26608492197875</c:v>
                </c:pt>
                <c:pt idx="110">
                  <c:v>-125.68469247058056</c:v>
                </c:pt>
                <c:pt idx="111">
                  <c:v>-126.09596843130527</c:v>
                </c:pt>
                <c:pt idx="112">
                  <c:v>-126.49991831577549</c:v>
                </c:pt>
                <c:pt idx="113">
                  <c:v>-126.89654725865185</c:v>
                </c:pt>
                <c:pt idx="114">
                  <c:v>-127.28586003699034</c:v>
                </c:pt>
                <c:pt idx="115">
                  <c:v>-127.66786108877018</c:v>
                </c:pt>
                <c:pt idx="116">
                  <c:v>-128.04255453063075</c:v>
                </c:pt>
                <c:pt idx="117">
                  <c:v>-128.40994417485504</c:v>
                </c:pt>
                <c:pt idx="118">
                  <c:v>-128.77003354563357</c:v>
                </c:pt>
                <c:pt idx="119">
                  <c:v>-129.12282589464209</c:v>
                </c:pt>
                <c:pt idx="120">
                  <c:v>-129.46832421596358</c:v>
                </c:pt>
                <c:pt idx="121">
                  <c:v>-129.80653126038342</c:v>
                </c:pt>
                <c:pt idx="122">
                  <c:v>-130.1374495490858</c:v>
                </c:pt>
                <c:pt idx="123">
                  <c:v>-130.46108138677661</c:v>
                </c:pt>
                <c:pt idx="124">
                  <c:v>-130.77742887425796</c:v>
                </c:pt>
                <c:pt idx="125">
                  <c:v>-131.08649392047673</c:v>
                </c:pt>
                <c:pt idx="126">
                  <c:v>-131.38827825406975</c:v>
                </c:pt>
                <c:pt idx="127">
                  <c:v>-131.68278343442572</c:v>
                </c:pt>
                <c:pt idx="128">
                  <c:v>-131.97001086228366</c:v>
                </c:pt>
                <c:pt idx="129">
                  <c:v>-132.24996178988624</c:v>
                </c:pt>
                <c:pt idx="130">
                  <c:v>-132.52263733070566</c:v>
                </c:pt>
                <c:pt idx="131">
                  <c:v>-132.78803846875823</c:v>
                </c:pt>
                <c:pt idx="132">
                  <c:v>-133.04616606752367</c:v>
                </c:pt>
                <c:pt idx="133">
                  <c:v>-133.29702087848383</c:v>
                </c:pt>
                <c:pt idx="134">
                  <c:v>-133.54060354929439</c:v>
                </c:pt>
                <c:pt idx="135">
                  <c:v>-133.7769146316034</c:v>
                </c:pt>
                <c:pt idx="136">
                  <c:v>-134.00595458852882</c:v>
                </c:pt>
                <c:pt idx="137">
                  <c:v>-134.22772380180683</c:v>
                </c:pt>
                <c:pt idx="138">
                  <c:v>-134.44222257862242</c:v>
                </c:pt>
                <c:pt idx="139">
                  <c:v>-134.64945115813248</c:v>
                </c:pt>
                <c:pt idx="140">
                  <c:v>-134.84940971769171</c:v>
                </c:pt>
                <c:pt idx="141">
                  <c:v>-135.04209837879051</c:v>
                </c:pt>
                <c:pt idx="142">
                  <c:v>-135.22751721271408</c:v>
                </c:pt>
                <c:pt idx="143">
                  <c:v>-135.40566624593092</c:v>
                </c:pt>
                <c:pt idx="144">
                  <c:v>-135.57654546521883</c:v>
                </c:pt>
                <c:pt idx="145">
                  <c:v>-135.7401548225358</c:v>
                </c:pt>
                <c:pt idx="146">
                  <c:v>-135.89649423964306</c:v>
                </c:pt>
                <c:pt idx="147">
                  <c:v>-136.04556361248657</c:v>
                </c:pt>
                <c:pt idx="148">
                  <c:v>-136.18736281534368</c:v>
                </c:pt>
                <c:pt idx="149">
                  <c:v>-136.32189170474047</c:v>
                </c:pt>
                <c:pt idx="150">
                  <c:v>-136.44915012314542</c:v>
                </c:pt>
                <c:pt idx="151">
                  <c:v>-136.56913790244457</c:v>
                </c:pt>
                <c:pt idx="152">
                  <c:v>-136.68185486720307</c:v>
                </c:pt>
                <c:pt idx="153">
                  <c:v>-136.78730083771742</c:v>
                </c:pt>
                <c:pt idx="154">
                  <c:v>-136.88547563286272</c:v>
                </c:pt>
                <c:pt idx="155">
                  <c:v>-136.97637907273892</c:v>
                </c:pt>
                <c:pt idx="156">
                  <c:v>-137.06001098111935</c:v>
                </c:pt>
                <c:pt idx="157">
                  <c:v>-137.13637118770521</c:v>
                </c:pt>
                <c:pt idx="158">
                  <c:v>-137.2054595301887</c:v>
                </c:pt>
                <c:pt idx="159">
                  <c:v>-137.26727585612787</c:v>
                </c:pt>
                <c:pt idx="160">
                  <c:v>-137.32182002463531</c:v>
                </c:pt>
                <c:pt idx="161">
                  <c:v>-137.3690919078835</c:v>
                </c:pt>
                <c:pt idx="162">
                  <c:v>-137.40909139242805</c:v>
                </c:pt>
                <c:pt idx="163">
                  <c:v>-137.44181838035124</c:v>
                </c:pt>
                <c:pt idx="164">
                  <c:v>-137.46727279022716</c:v>
                </c:pt>
                <c:pt idx="165">
                  <c:v>-137.48545455790935</c:v>
                </c:pt>
                <c:pt idx="166">
                  <c:v>-137.49636363714279</c:v>
                </c:pt>
                <c:pt idx="167">
                  <c:v>-137.5</c:v>
                </c:pt>
                <c:pt idx="168">
                  <c:v>-137.49636363714279</c:v>
                </c:pt>
                <c:pt idx="169">
                  <c:v>-137.48545455790935</c:v>
                </c:pt>
                <c:pt idx="170">
                  <c:v>-137.46727279022716</c:v>
                </c:pt>
                <c:pt idx="171">
                  <c:v>-137.44181838035124</c:v>
                </c:pt>
                <c:pt idx="172">
                  <c:v>-137.40909139242805</c:v>
                </c:pt>
                <c:pt idx="173">
                  <c:v>-137.3690919078835</c:v>
                </c:pt>
                <c:pt idx="174">
                  <c:v>-137.32182002463531</c:v>
                </c:pt>
                <c:pt idx="175">
                  <c:v>-137.26727585612787</c:v>
                </c:pt>
                <c:pt idx="176">
                  <c:v>-137.2054595301887</c:v>
                </c:pt>
                <c:pt idx="177">
                  <c:v>-137.13637118770521</c:v>
                </c:pt>
                <c:pt idx="178">
                  <c:v>-137.06001098111935</c:v>
                </c:pt>
                <c:pt idx="179">
                  <c:v>-136.97637907273892</c:v>
                </c:pt>
                <c:pt idx="180">
                  <c:v>-136.88547563286272</c:v>
                </c:pt>
                <c:pt idx="181">
                  <c:v>-136.78730083771742</c:v>
                </c:pt>
                <c:pt idx="182">
                  <c:v>-136.68185486720307</c:v>
                </c:pt>
                <c:pt idx="183">
                  <c:v>-136.56913790244457</c:v>
                </c:pt>
                <c:pt idx="184">
                  <c:v>-136.44915012314542</c:v>
                </c:pt>
                <c:pt idx="185">
                  <c:v>-136.32189170474047</c:v>
                </c:pt>
                <c:pt idx="186">
                  <c:v>-136.18736281534368</c:v>
                </c:pt>
                <c:pt idx="187">
                  <c:v>-136.04556361248657</c:v>
                </c:pt>
                <c:pt idx="188">
                  <c:v>-135.89649423964306</c:v>
                </c:pt>
                <c:pt idx="189">
                  <c:v>-135.7401548225358</c:v>
                </c:pt>
                <c:pt idx="190">
                  <c:v>-135.57654546521883</c:v>
                </c:pt>
                <c:pt idx="191">
                  <c:v>-135.40566624593092</c:v>
                </c:pt>
                <c:pt idx="192">
                  <c:v>-135.22751721271408</c:v>
                </c:pt>
                <c:pt idx="193">
                  <c:v>-135.04209837879051</c:v>
                </c:pt>
                <c:pt idx="194">
                  <c:v>-134.84940971769171</c:v>
                </c:pt>
                <c:pt idx="195">
                  <c:v>-134.64945115813248</c:v>
                </c:pt>
                <c:pt idx="196">
                  <c:v>-134.44222257862242</c:v>
                </c:pt>
                <c:pt idx="197">
                  <c:v>-134.22772380180683</c:v>
                </c:pt>
                <c:pt idx="198">
                  <c:v>-134.00595458852882</c:v>
                </c:pt>
                <c:pt idx="199">
                  <c:v>-133.7769146316034</c:v>
                </c:pt>
                <c:pt idx="200">
                  <c:v>-133.54060354929439</c:v>
                </c:pt>
                <c:pt idx="201">
                  <c:v>-133.29702087848383</c:v>
                </c:pt>
                <c:pt idx="202">
                  <c:v>-133.04616606752367</c:v>
                </c:pt>
                <c:pt idx="203">
                  <c:v>-132.78803846875823</c:v>
                </c:pt>
                <c:pt idx="204">
                  <c:v>-132.52263733070566</c:v>
                </c:pt>
                <c:pt idx="205">
                  <c:v>-132.24996178988624</c:v>
                </c:pt>
                <c:pt idx="206">
                  <c:v>-131.97001086228366</c:v>
                </c:pt>
                <c:pt idx="207">
                  <c:v>-131.68278343442572</c:v>
                </c:pt>
                <c:pt idx="208">
                  <c:v>-131.38827825406975</c:v>
                </c:pt>
                <c:pt idx="209">
                  <c:v>-131.08649392047673</c:v>
                </c:pt>
                <c:pt idx="210">
                  <c:v>-130.77742887425796</c:v>
                </c:pt>
                <c:pt idx="211">
                  <c:v>-130.46108138677661</c:v>
                </c:pt>
                <c:pt idx="212">
                  <c:v>-130.1374495490858</c:v>
                </c:pt>
                <c:pt idx="213">
                  <c:v>-129.80653126038342</c:v>
                </c:pt>
                <c:pt idx="214">
                  <c:v>-129.46832421596358</c:v>
                </c:pt>
                <c:pt idx="215">
                  <c:v>-129.12282589464209</c:v>
                </c:pt>
                <c:pt idx="216">
                  <c:v>-128.77003354563357</c:v>
                </c:pt>
                <c:pt idx="217">
                  <c:v>-128.40994417485504</c:v>
                </c:pt>
                <c:pt idx="218">
                  <c:v>-128.04255453063075</c:v>
                </c:pt>
                <c:pt idx="219">
                  <c:v>-127.66786108877018</c:v>
                </c:pt>
                <c:pt idx="220">
                  <c:v>-127.28586003699034</c:v>
                </c:pt>
                <c:pt idx="221">
                  <c:v>-126.89654725865185</c:v>
                </c:pt>
                <c:pt idx="222">
                  <c:v>-126.49991831577549</c:v>
                </c:pt>
                <c:pt idx="223">
                  <c:v>-126.09596843130527</c:v>
                </c:pt>
                <c:pt idx="224">
                  <c:v>-125.68469247058056</c:v>
                </c:pt>
                <c:pt idx="225">
                  <c:v>-125.26608492197875</c:v>
                </c:pt>
                <c:pt idx="226">
                  <c:v>-124.84013987668665</c:v>
                </c:pt>
                <c:pt idx="227">
                  <c:v>-124.40685100755695</c:v>
                </c:pt>
                <c:pt idx="228">
                  <c:v>-123.9662115470024</c:v>
                </c:pt>
                <c:pt idx="229">
                  <c:v>-123.51821426387851</c:v>
                </c:pt>
                <c:pt idx="230">
                  <c:v>-123.06285143930137</c:v>
                </c:pt>
                <c:pt idx="231">
                  <c:v>-122.60011484134459</c:v>
                </c:pt>
                <c:pt idx="232">
                  <c:v>-122.12999569855495</c:v>
                </c:pt>
                <c:pt idx="233">
                  <c:v>-121.65248467222315</c:v>
                </c:pt>
                <c:pt idx="234">
                  <c:v>-121.16757182734131</c:v>
                </c:pt>
                <c:pt idx="235">
                  <c:v>-120.67524660217448</c:v>
                </c:pt>
                <c:pt idx="236">
                  <c:v>-120.17549777636864</c:v>
                </c:pt>
                <c:pt idx="237">
                  <c:v>-119.66831343751217</c:v>
                </c:pt>
                <c:pt idx="238">
                  <c:v>-119.15368094606224</c:v>
                </c:pt>
                <c:pt idx="239">
                  <c:v>-118.63158689854156</c:v>
                </c:pt>
                <c:pt idx="240">
                  <c:v>-118.10201708890382</c:v>
                </c:pt>
                <c:pt idx="241">
                  <c:v>-117.56495646795972</c:v>
                </c:pt>
                <c:pt idx="242">
                  <c:v>-117.02038910074691</c:v>
                </c:pt>
                <c:pt idx="243">
                  <c:v>-116.46829812171967</c:v>
                </c:pt>
                <c:pt idx="244">
                  <c:v>-115.90866568762436</c:v>
                </c:pt>
                <c:pt idx="245">
                  <c:v>-115.34147292791698</c:v>
                </c:pt>
                <c:pt idx="246">
                  <c:v>-114.76669989256909</c:v>
                </c:pt>
                <c:pt idx="247">
                  <c:v>-114.18432549709576</c:v>
                </c:pt>
                <c:pt idx="248">
                  <c:v>-113.59432746462743</c:v>
                </c:pt>
                <c:pt idx="249">
                  <c:v>-112.99668226483341</c:v>
                </c:pt>
                <c:pt idx="250">
                  <c:v>-112.39136504949008</c:v>
                </c:pt>
                <c:pt idx="251">
                  <c:v>-111.77834958447004</c:v>
                </c:pt>
                <c:pt idx="252">
                  <c:v>-111.15760817791161</c:v>
                </c:pt>
                <c:pt idx="253">
                  <c:v>-110.52911160430752</c:v>
                </c:pt>
                <c:pt idx="254">
                  <c:v>-109.89282902423129</c:v>
                </c:pt>
                <c:pt idx="255">
                  <c:v>-109.24872789939634</c:v>
                </c:pt>
                <c:pt idx="256">
                  <c:v>-108.59677390271672</c:v>
                </c:pt>
                <c:pt idx="257">
                  <c:v>-107.93693082301172</c:v>
                </c:pt>
                <c:pt idx="258">
                  <c:v>-107.26916046396457</c:v>
                </c:pt>
                <c:pt idx="259">
                  <c:v>-106.59342253691233</c:v>
                </c:pt>
                <c:pt idx="260">
                  <c:v>-105.90967454700736</c:v>
                </c:pt>
                <c:pt idx="261">
                  <c:v>-105.21787167224841</c:v>
                </c:pt>
                <c:pt idx="262">
                  <c:v>-104.51796663483584</c:v>
                </c:pt>
                <c:pt idx="263">
                  <c:v>-103.80990956425403</c:v>
                </c:pt>
                <c:pt idx="264">
                  <c:v>-103.09364785142994</c:v>
                </c:pt>
                <c:pt idx="265">
                  <c:v>-102.36912599325444</c:v>
                </c:pt>
                <c:pt idx="266">
                  <c:v>-101.63628542668603</c:v>
                </c:pt>
                <c:pt idx="267">
                  <c:v>-100.89506435158013</c:v>
                </c:pt>
                <c:pt idx="268">
                  <c:v>-100.14539754130368</c:v>
                </c:pt>
                <c:pt idx="269">
                  <c:v>-99.387216140100918</c:v>
                </c:pt>
                <c:pt idx="270">
                  <c:v>-98.620447446071054</c:v>
                </c:pt>
                <c:pt idx="271">
                  <c:v>-97.84501467850238</c:v>
                </c:pt>
                <c:pt idx="272">
                  <c:v>-97.060836728176</c:v>
                </c:pt>
                <c:pt idx="273">
                  <c:v>-96.267827889104723</c:v>
                </c:pt>
                <c:pt idx="274">
                  <c:v>-95.465897570008636</c:v>
                </c:pt>
                <c:pt idx="275">
                  <c:v>-94.654949983641686</c:v>
                </c:pt>
                <c:pt idx="276">
                  <c:v>-93.834883811874548</c:v>
                </c:pt>
                <c:pt idx="277">
                  <c:v>-93.005591844201106</c:v>
                </c:pt>
                <c:pt idx="278">
                  <c:v>-92.166960587067805</c:v>
                </c:pt>
                <c:pt idx="279">
                  <c:v>-91.318869841119891</c:v>
                </c:pt>
                <c:pt idx="280">
                  <c:v>-90.461192243111412</c:v>
                </c:pt>
                <c:pt idx="281">
                  <c:v>-89.593792768831122</c:v>
                </c:pt>
                <c:pt idx="282">
                  <c:v>-88.716528192944338</c:v>
                </c:pt>
                <c:pt idx="283">
                  <c:v>-87.829246501133113</c:v>
                </c:pt>
                <c:pt idx="284">
                  <c:v>-86.931786249323849</c:v>
                </c:pt>
                <c:pt idx="285">
                  <c:v>-86.023975864107015</c:v>
                </c:pt>
                <c:pt idx="286">
                  <c:v>-85.105632877664803</c:v>
                </c:pt>
                <c:pt idx="287">
                  <c:v>-84.176563089609772</c:v>
                </c:pt>
                <c:pt idx="288">
                  <c:v>-83.23655964707622</c:v>
                </c:pt>
                <c:pt idx="289">
                  <c:v>-82.285402033173554</c:v>
                </c:pt>
                <c:pt idx="290">
                  <c:v>-81.322854952468376</c:v>
                </c:pt>
                <c:pt idx="291">
                  <c:v>-80.348667100474742</c:v>
                </c:pt>
                <c:pt idx="292">
                  <c:v>-79.362569802146254</c:v>
                </c:pt>
                <c:pt idx="293">
                  <c:v>-78.364275502022139</c:v>
                </c:pt>
                <c:pt idx="294">
                  <c:v>-77.353476085907047</c:v>
                </c:pt>
                <c:pt idx="295">
                  <c:v>-76.329841010666684</c:v>
                </c:pt>
                <c:pt idx="296">
                  <c:v>-75.293015214788412</c:v>
                </c:pt>
                <c:pt idx="297">
                  <c:v>-74.242616777638233</c:v>
                </c:pt>
                <c:pt idx="298">
                  <c:v>-73.178234289668211</c:v>
                </c:pt>
                <c:pt idx="299">
                  <c:v>-72.099423888958285</c:v>
                </c:pt>
                <c:pt idx="300">
                  <c:v>-71.005705911125517</c:v>
                </c:pt>
                <c:pt idx="301">
                  <c:v>-69.896561089427905</c:v>
                </c:pt>
                <c:pt idx="302">
                  <c:v>-68.771426229350041</c:v>
                </c:pt>
                <c:pt idx="303">
                  <c:v>-67.629689266457149</c:v>
                </c:pt>
                <c:pt idx="304">
                  <c:v>-66.470683597030046</c:v>
                </c:pt>
                <c:pt idx="305">
                  <c:v>-65.293681546866893</c:v>
                </c:pt>
                <c:pt idx="306">
                  <c:v>-64.097886813227674</c:v>
                </c:pt>
                <c:pt idx="307">
                  <c:v>-62.882425676286481</c:v>
                </c:pt>
                <c:pt idx="308">
                  <c:v>-61.646336727041806</c:v>
                </c:pt>
                <c:pt idx="309">
                  <c:v>-60.388558794864835</c:v>
                </c:pt>
                <c:pt idx="310">
                  <c:v>-59.107916674821169</c:v>
                </c:pt>
                <c:pt idx="311">
                  <c:v>-57.803104145709426</c:v>
                </c:pt>
                <c:pt idx="312">
                  <c:v>-56.472663624684088</c:v>
                </c:pt>
                <c:pt idx="313">
                  <c:v>-55.114961609399309</c:v>
                </c:pt>
                <c:pt idx="314">
                  <c:v>-53.728158793482727</c:v>
                </c:pt>
                <c:pt idx="315">
                  <c:v>-52.310173375738167</c:v>
                </c:pt>
                <c:pt idx="316">
                  <c:v>-50.858635572526865</c:v>
                </c:pt>
                <c:pt idx="317">
                  <c:v>-49.370830616913544</c:v>
                </c:pt>
                <c:pt idx="318">
                  <c:v>-47.84362647887513</c:v>
                </c:pt>
                <c:pt idx="319">
                  <c:v>-46.273380994513502</c:v>
                </c:pt>
                <c:pt idx="320">
                  <c:v>-44.655820763921867</c:v>
                </c:pt>
                <c:pt idx="321">
                  <c:v>-42.985880586553627</c:v>
                </c:pt>
                <c:pt idx="322">
                  <c:v>-41.257486513058623</c:v>
                </c:pt>
                <c:pt idx="323">
                  <c:v>-39.463256294741541</c:v>
                </c:pt>
                <c:pt idx="324">
                  <c:v>-37.594075272103836</c:v>
                </c:pt>
                <c:pt idx="325">
                  <c:v>-35.63847798457617</c:v>
                </c:pt>
                <c:pt idx="326">
                  <c:v>-33.581714409251383</c:v>
                </c:pt>
                <c:pt idx="327">
                  <c:v>-31.404279025742696</c:v>
                </c:pt>
                <c:pt idx="328">
                  <c:v>-29.079469139226951</c:v>
                </c:pt>
                <c:pt idx="329">
                  <c:v>-26.569052844883974</c:v>
                </c:pt>
                <c:pt idx="330">
                  <c:v>-23.814877671828768</c:v>
                </c:pt>
                <c:pt idx="331">
                  <c:v>-20.720506496455897</c:v>
                </c:pt>
                <c:pt idx="332">
                  <c:v>-17.102916805956031</c:v>
                </c:pt>
                <c:pt idx="333">
                  <c:v>-12.517251430212802</c:v>
                </c:pt>
                <c:pt idx="334">
                  <c:v>-4.6772589957931103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FC-443E-B409-6F79D323C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004112"/>
        <c:axId val="677476464"/>
      </c:scatterChart>
      <c:valAx>
        <c:axId val="2094004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7476464"/>
        <c:crosses val="autoZero"/>
        <c:crossBetween val="midCat"/>
      </c:valAx>
      <c:valAx>
        <c:axId val="677476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09400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201930</xdr:colOff>
      <xdr:row>2</xdr:row>
      <xdr:rowOff>103822</xdr:rowOff>
    </xdr:from>
    <xdr:to>
      <xdr:col>11</xdr:col>
      <xdr:colOff>506730</xdr:colOff>
      <xdr:row>17</xdr:row>
      <xdr:rowOff>122872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77278B36-7DCD-8830-B1DD-4C1EF760E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243840</xdr:colOff>
      <xdr:row>318</xdr:row>
      <xdr:rowOff>133350</xdr:rowOff>
    </xdr:from>
    <xdr:to>
      <xdr:col>13</xdr:col>
      <xdr:colOff>548640</xdr:colOff>
      <xdr:row>333</xdr:row>
      <xdr:rowOff>133350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E3606455-BC49-1F25-9643-AFC3B49DB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9F0A-D36D-409D-9A02-E87EA498DCD5}">
  <dimension ref="A1:B191"/>
  <sheetViews>
    <sheetView tabSelected="1" workbookViewId="0">
      <selection activeCell="K23" sqref="K23"/>
    </sheetView>
  </sheetViews>
  <sheetFormatPr defaultRowHeight="14.4" x14ac:dyDescent="0.3"/>
  <sheetData>
    <row r="1" spans="1:2" x14ac:dyDescent="0.3">
      <c r="A1">
        <v>22.5</v>
      </c>
      <c r="B1">
        <f>A1*2*3.14159265358979</f>
        <v>141.37166941154055</v>
      </c>
    </row>
    <row r="2" spans="1:2" x14ac:dyDescent="0.3">
      <c r="A2">
        <v>0</v>
      </c>
      <c r="B2">
        <f t="shared" ref="B2:B33" si="0">$A$1*(1-ABS(COS(A2/$A$1)))</f>
        <v>0</v>
      </c>
    </row>
    <row r="3" spans="1:2" x14ac:dyDescent="0.3">
      <c r="A3">
        <f>A2+5</f>
        <v>5</v>
      </c>
      <c r="B3">
        <f t="shared" si="0"/>
        <v>0.55327307873743092</v>
      </c>
    </row>
    <row r="4" spans="1:2" x14ac:dyDescent="0.3">
      <c r="A4">
        <f t="shared" ref="A4:A67" si="1">A3+5</f>
        <v>10</v>
      </c>
      <c r="B4">
        <f t="shared" si="0"/>
        <v>2.1858824394247804</v>
      </c>
    </row>
    <row r="5" spans="1:2" x14ac:dyDescent="0.3">
      <c r="A5">
        <f t="shared" si="1"/>
        <v>15</v>
      </c>
      <c r="B5">
        <f t="shared" si="0"/>
        <v>4.817536632518669</v>
      </c>
    </row>
    <row r="6" spans="1:2" x14ac:dyDescent="0.3">
      <c r="A6">
        <f t="shared" si="1"/>
        <v>20</v>
      </c>
      <c r="B6">
        <f t="shared" si="0"/>
        <v>8.3188113542337341</v>
      </c>
    </row>
    <row r="7" spans="1:2" x14ac:dyDescent="0.3">
      <c r="A7">
        <f t="shared" si="1"/>
        <v>25</v>
      </c>
      <c r="B7">
        <f t="shared" si="0"/>
        <v>12.517514511699858</v>
      </c>
    </row>
    <row r="8" spans="1:2" x14ac:dyDescent="0.3">
      <c r="A8">
        <f t="shared" si="1"/>
        <v>30</v>
      </c>
      <c r="B8">
        <f t="shared" si="0"/>
        <v>17.207154600682738</v>
      </c>
    </row>
    <row r="9" spans="1:2" x14ac:dyDescent="0.3">
      <c r="A9">
        <f t="shared" si="1"/>
        <v>35</v>
      </c>
      <c r="B9">
        <f t="shared" si="0"/>
        <v>22.157095922497756</v>
      </c>
    </row>
    <row r="10" spans="1:2" x14ac:dyDescent="0.3">
      <c r="A10">
        <f t="shared" si="1"/>
        <v>40</v>
      </c>
      <c r="B10">
        <f t="shared" si="0"/>
        <v>17.876098791716451</v>
      </c>
    </row>
    <row r="11" spans="1:2" x14ac:dyDescent="0.3">
      <c r="A11">
        <f t="shared" si="1"/>
        <v>45</v>
      </c>
      <c r="B11">
        <f t="shared" si="0"/>
        <v>13.136696177689297</v>
      </c>
    </row>
    <row r="12" spans="1:2" x14ac:dyDescent="0.3">
      <c r="A12">
        <f t="shared" si="1"/>
        <v>50</v>
      </c>
      <c r="B12">
        <f t="shared" si="0"/>
        <v>8.857779246588704</v>
      </c>
    </row>
    <row r="13" spans="1:2" x14ac:dyDescent="0.3">
      <c r="A13">
        <f t="shared" si="1"/>
        <v>55</v>
      </c>
      <c r="B13">
        <f t="shared" si="0"/>
        <v>5.2497844023374913</v>
      </c>
    </row>
    <row r="14" spans="1:2" x14ac:dyDescent="0.3">
      <c r="A14">
        <f t="shared" si="1"/>
        <v>60</v>
      </c>
      <c r="B14">
        <f t="shared" si="0"/>
        <v>2.4901522152065696</v>
      </c>
    </row>
    <row r="15" spans="1:2" x14ac:dyDescent="0.3">
      <c r="A15">
        <f t="shared" si="1"/>
        <v>65</v>
      </c>
      <c r="B15">
        <f t="shared" si="0"/>
        <v>0.7146009248720866</v>
      </c>
    </row>
    <row r="16" spans="1:2" x14ac:dyDescent="0.3">
      <c r="A16">
        <f t="shared" si="1"/>
        <v>70</v>
      </c>
      <c r="B16">
        <f t="shared" si="0"/>
        <v>1.0451840566015613E-2</v>
      </c>
    </row>
    <row r="17" spans="1:2" x14ac:dyDescent="0.3">
      <c r="A17">
        <f t="shared" si="1"/>
        <v>75</v>
      </c>
      <c r="B17">
        <f t="shared" si="0"/>
        <v>0.4123348940007221</v>
      </c>
    </row>
    <row r="18" spans="1:2" x14ac:dyDescent="0.3">
      <c r="A18">
        <f t="shared" si="1"/>
        <v>80</v>
      </c>
      <c r="B18">
        <f t="shared" si="0"/>
        <v>1.9004855452414304</v>
      </c>
    </row>
    <row r="19" spans="1:2" x14ac:dyDescent="0.3">
      <c r="A19">
        <f t="shared" si="1"/>
        <v>85</v>
      </c>
      <c r="B19">
        <f t="shared" si="0"/>
        <v>4.4017167994048494</v>
      </c>
    </row>
    <row r="20" spans="1:2" x14ac:dyDescent="0.3">
      <c r="A20">
        <f t="shared" si="1"/>
        <v>90</v>
      </c>
      <c r="B20">
        <f t="shared" si="0"/>
        <v>7.7930185305687312</v>
      </c>
    </row>
    <row r="21" spans="1:2" x14ac:dyDescent="0.3">
      <c r="A21">
        <f t="shared" si="1"/>
        <v>95</v>
      </c>
      <c r="B21">
        <f t="shared" si="0"/>
        <v>11.907607098757198</v>
      </c>
    </row>
    <row r="22" spans="1:2" x14ac:dyDescent="0.3">
      <c r="A22">
        <f t="shared" si="1"/>
        <v>100</v>
      </c>
      <c r="B22">
        <f t="shared" si="0"/>
        <v>16.543127740871633</v>
      </c>
    </row>
    <row r="23" spans="1:2" x14ac:dyDescent="0.3">
      <c r="A23">
        <f t="shared" si="1"/>
        <v>105</v>
      </c>
      <c r="B23">
        <f t="shared" si="0"/>
        <v>21.471606343381939</v>
      </c>
    </row>
    <row r="24" spans="1:2" x14ac:dyDescent="0.3">
      <c r="A24">
        <f t="shared" si="1"/>
        <v>110</v>
      </c>
      <c r="B24">
        <f t="shared" si="0"/>
        <v>18.54933882970321</v>
      </c>
    </row>
    <row r="25" spans="1:2" x14ac:dyDescent="0.3">
      <c r="A25">
        <f t="shared" si="1"/>
        <v>115</v>
      </c>
      <c r="B25">
        <f t="shared" si="0"/>
        <v>13.764576844454027</v>
      </c>
    </row>
    <row r="26" spans="1:2" x14ac:dyDescent="0.3">
      <c r="A26">
        <f t="shared" si="1"/>
        <v>120</v>
      </c>
      <c r="B26">
        <f t="shared" si="0"/>
        <v>9.4094214781686603</v>
      </c>
    </row>
    <row r="27" spans="1:2" x14ac:dyDescent="0.3">
      <c r="A27">
        <f t="shared" si="1"/>
        <v>125</v>
      </c>
      <c r="B27">
        <f t="shared" si="0"/>
        <v>5.6980585279924236</v>
      </c>
    </row>
    <row r="28" spans="1:2" x14ac:dyDescent="0.3">
      <c r="A28">
        <f t="shared" si="1"/>
        <v>130</v>
      </c>
      <c r="B28">
        <f t="shared" si="0"/>
        <v>2.8130121899925236</v>
      </c>
    </row>
    <row r="29" spans="1:2" x14ac:dyDescent="0.3">
      <c r="A29">
        <f t="shared" si="1"/>
        <v>135</v>
      </c>
      <c r="B29">
        <f t="shared" si="0"/>
        <v>0.89616855036676579</v>
      </c>
    </row>
    <row r="30" spans="1:2" x14ac:dyDescent="0.3">
      <c r="A30">
        <f t="shared" si="1"/>
        <v>140</v>
      </c>
      <c r="B30">
        <f t="shared" si="0"/>
        <v>4.1797651955505222E-2</v>
      </c>
    </row>
    <row r="31" spans="1:2" x14ac:dyDescent="0.3">
      <c r="A31">
        <f t="shared" si="1"/>
        <v>145</v>
      </c>
      <c r="B31">
        <f t="shared" si="0"/>
        <v>0.2919173096340949</v>
      </c>
    </row>
    <row r="32" spans="1:2" x14ac:dyDescent="0.3">
      <c r="A32">
        <f t="shared" si="1"/>
        <v>150</v>
      </c>
      <c r="B32">
        <f t="shared" si="0"/>
        <v>1.6342266813530566</v>
      </c>
    </row>
    <row r="33" spans="1:2" x14ac:dyDescent="0.3">
      <c r="A33">
        <f t="shared" si="1"/>
        <v>155</v>
      </c>
      <c r="B33">
        <f t="shared" si="0"/>
        <v>4.0027112214493661</v>
      </c>
    </row>
    <row r="34" spans="1:2" x14ac:dyDescent="0.3">
      <c r="A34">
        <f t="shared" si="1"/>
        <v>160</v>
      </c>
      <c r="B34">
        <f t="shared" ref="B34:B65" si="2">$A$1*(1-ABS(COS(A34/$A$1)))</f>
        <v>7.2808892647282404</v>
      </c>
    </row>
    <row r="35" spans="1:2" x14ac:dyDescent="0.3">
      <c r="A35">
        <f t="shared" si="1"/>
        <v>165</v>
      </c>
      <c r="B35">
        <f t="shared" si="2"/>
        <v>11.307540574864877</v>
      </c>
    </row>
    <row r="36" spans="1:2" x14ac:dyDescent="0.3">
      <c r="A36">
        <f t="shared" si="1"/>
        <v>170</v>
      </c>
      <c r="B36">
        <f t="shared" si="2"/>
        <v>15.884635128093807</v>
      </c>
    </row>
    <row r="37" spans="1:2" x14ac:dyDescent="0.3">
      <c r="A37">
        <f t="shared" si="1"/>
        <v>175</v>
      </c>
      <c r="B37">
        <f t="shared" si="2"/>
        <v>20.78707219595838</v>
      </c>
    </row>
    <row r="38" spans="1:2" x14ac:dyDescent="0.3">
      <c r="A38">
        <f t="shared" si="1"/>
        <v>180</v>
      </c>
      <c r="B38">
        <f t="shared" si="2"/>
        <v>19.226249239306195</v>
      </c>
    </row>
    <row r="39" spans="1:2" x14ac:dyDescent="0.3">
      <c r="A39">
        <f t="shared" si="1"/>
        <v>185</v>
      </c>
      <c r="B39">
        <f t="shared" si="2"/>
        <v>14.400573177894175</v>
      </c>
    </row>
    <row r="40" spans="1:2" x14ac:dyDescent="0.3">
      <c r="A40">
        <f t="shared" si="1"/>
        <v>190</v>
      </c>
      <c r="B40">
        <f t="shared" si="2"/>
        <v>9.9732255443821209</v>
      </c>
    </row>
    <row r="41" spans="1:2" x14ac:dyDescent="0.3">
      <c r="A41">
        <f t="shared" si="1"/>
        <v>195</v>
      </c>
      <c r="B41">
        <f t="shared" si="2"/>
        <v>6.1619425392886846</v>
      </c>
    </row>
    <row r="42" spans="1:2" x14ac:dyDescent="0.3">
      <c r="A42">
        <f t="shared" si="1"/>
        <v>200</v>
      </c>
      <c r="B42">
        <f t="shared" si="2"/>
        <v>3.154162409917606</v>
      </c>
    </row>
    <row r="43" spans="1:2" x14ac:dyDescent="0.3">
      <c r="A43">
        <f t="shared" si="1"/>
        <v>205</v>
      </c>
      <c r="B43">
        <f t="shared" si="2"/>
        <v>1.0978072693660343</v>
      </c>
    </row>
    <row r="44" spans="1:2" x14ac:dyDescent="0.3">
      <c r="A44">
        <f t="shared" si="1"/>
        <v>210</v>
      </c>
      <c r="B44">
        <f t="shared" si="2"/>
        <v>9.4008312264200755E-2</v>
      </c>
    </row>
    <row r="45" spans="1:2" x14ac:dyDescent="0.3">
      <c r="A45">
        <f t="shared" si="1"/>
        <v>215</v>
      </c>
      <c r="B45">
        <f t="shared" si="2"/>
        <v>0.19213219989471758</v>
      </c>
    </row>
    <row r="46" spans="1:2" x14ac:dyDescent="0.3">
      <c r="A46">
        <f t="shared" si="1"/>
        <v>220</v>
      </c>
      <c r="B46">
        <f t="shared" si="2"/>
        <v>1.3873532162214028</v>
      </c>
    </row>
    <row r="47" spans="1:2" x14ac:dyDescent="0.3">
      <c r="A47">
        <f t="shared" si="1"/>
        <v>225</v>
      </c>
      <c r="B47">
        <f t="shared" si="2"/>
        <v>3.6208905957798203</v>
      </c>
    </row>
    <row r="48" spans="1:2" x14ac:dyDescent="0.3">
      <c r="A48">
        <f t="shared" si="1"/>
        <v>230</v>
      </c>
      <c r="B48">
        <f t="shared" si="2"/>
        <v>6.7828993516843328</v>
      </c>
    </row>
    <row r="49" spans="1:2" x14ac:dyDescent="0.3">
      <c r="A49">
        <f t="shared" si="1"/>
        <v>235</v>
      </c>
      <c r="B49">
        <f t="shared" si="2"/>
        <v>10.71787243332396</v>
      </c>
    </row>
    <row r="50" spans="1:2" x14ac:dyDescent="0.3">
      <c r="A50">
        <f t="shared" si="1"/>
        <v>240</v>
      </c>
      <c r="B50">
        <f t="shared" si="2"/>
        <v>15.232288536553952</v>
      </c>
    </row>
    <row r="51" spans="1:2" x14ac:dyDescent="0.3">
      <c r="A51">
        <f t="shared" si="1"/>
        <v>245</v>
      </c>
      <c r="B51">
        <f t="shared" si="2"/>
        <v>20.104129448384526</v>
      </c>
    </row>
    <row r="52" spans="1:2" x14ac:dyDescent="0.3">
      <c r="A52">
        <f t="shared" si="1"/>
        <v>250</v>
      </c>
      <c r="B52">
        <f t="shared" si="2"/>
        <v>19.906201135220616</v>
      </c>
    </row>
    <row r="53" spans="1:2" x14ac:dyDescent="0.3">
      <c r="A53">
        <f t="shared" si="1"/>
        <v>255</v>
      </c>
      <c r="B53">
        <f t="shared" si="2"/>
        <v>15.044094304029466</v>
      </c>
    </row>
    <row r="54" spans="1:2" x14ac:dyDescent="0.3">
      <c r="A54">
        <f t="shared" si="1"/>
        <v>260</v>
      </c>
      <c r="B54">
        <f t="shared" si="2"/>
        <v>10.548667641654843</v>
      </c>
    </row>
    <row r="55" spans="1:2" x14ac:dyDescent="0.3">
      <c r="A55">
        <f t="shared" si="1"/>
        <v>265</v>
      </c>
      <c r="B55">
        <f t="shared" si="2"/>
        <v>6.6410054636282734</v>
      </c>
    </row>
    <row r="56" spans="1:2" x14ac:dyDescent="0.3">
      <c r="A56">
        <f t="shared" si="1"/>
        <v>270</v>
      </c>
      <c r="B56">
        <f t="shared" si="2"/>
        <v>3.5132859285189268</v>
      </c>
    </row>
    <row r="57" spans="1:2" x14ac:dyDescent="0.3">
      <c r="A57">
        <f t="shared" si="1"/>
        <v>275</v>
      </c>
      <c r="B57">
        <f t="shared" si="2"/>
        <v>1.3193297489149662</v>
      </c>
    </row>
    <row r="58" spans="1:2" x14ac:dyDescent="0.3">
      <c r="A58">
        <f t="shared" si="1"/>
        <v>280</v>
      </c>
      <c r="B58">
        <f t="shared" si="2"/>
        <v>0.16703531504789093</v>
      </c>
    </row>
    <row r="59" spans="1:2" x14ac:dyDescent="0.3">
      <c r="A59">
        <f t="shared" si="1"/>
        <v>285</v>
      </c>
      <c r="B59">
        <f t="shared" si="2"/>
        <v>0.11307227038773515</v>
      </c>
    </row>
    <row r="60" spans="1:2" x14ac:dyDescent="0.3">
      <c r="A60">
        <f t="shared" si="1"/>
        <v>290</v>
      </c>
      <c r="B60">
        <f t="shared" si="2"/>
        <v>1.1600945082551348</v>
      </c>
    </row>
    <row r="61" spans="1:2" x14ac:dyDescent="0.3">
      <c r="A61">
        <f t="shared" si="1"/>
        <v>295</v>
      </c>
      <c r="B61">
        <f t="shared" si="2"/>
        <v>3.2566096538010529</v>
      </c>
    </row>
    <row r="62" spans="1:2" x14ac:dyDescent="0.3">
      <c r="A62">
        <f t="shared" si="1"/>
        <v>300</v>
      </c>
      <c r="B62">
        <f t="shared" si="2"/>
        <v>6.2995114502081186</v>
      </c>
    </row>
    <row r="63" spans="1:2" x14ac:dyDescent="0.3">
      <c r="A63">
        <f t="shared" si="1"/>
        <v>305</v>
      </c>
      <c r="B63">
        <f t="shared" si="2"/>
        <v>10.139150506792387</v>
      </c>
    </row>
    <row r="64" spans="1:2" x14ac:dyDescent="0.3">
      <c r="A64">
        <f t="shared" si="1"/>
        <v>310</v>
      </c>
      <c r="B64">
        <f t="shared" si="2"/>
        <v>14.586694030480423</v>
      </c>
    </row>
    <row r="65" spans="1:2" x14ac:dyDescent="0.3">
      <c r="A65">
        <f t="shared" si="1"/>
        <v>315</v>
      </c>
      <c r="B65">
        <f t="shared" si="2"/>
        <v>19.423412590323746</v>
      </c>
    </row>
    <row r="66" spans="1:2" x14ac:dyDescent="0.3">
      <c r="A66">
        <f t="shared" si="1"/>
        <v>320</v>
      </c>
      <c r="B66">
        <f t="shared" ref="B66:B97" si="3">$A$1*(1-ABS(COS(A66/$A$1)))</f>
        <v>20.588562806441256</v>
      </c>
    </row>
    <row r="67" spans="1:2" x14ac:dyDescent="0.3">
      <c r="A67">
        <f t="shared" si="1"/>
        <v>325</v>
      </c>
      <c r="B67">
        <f t="shared" si="3"/>
        <v>15.694542357952303</v>
      </c>
    </row>
    <row r="68" spans="1:2" x14ac:dyDescent="0.3">
      <c r="A68">
        <f t="shared" ref="A68:A131" si="4">A67+5</f>
        <v>330</v>
      </c>
      <c r="B68">
        <f t="shared" si="3"/>
        <v>11.135213154070758</v>
      </c>
    </row>
    <row r="69" spans="1:2" x14ac:dyDescent="0.3">
      <c r="A69">
        <f t="shared" si="4"/>
        <v>335</v>
      </c>
      <c r="B69">
        <f t="shared" si="3"/>
        <v>7.134802226406241</v>
      </c>
    </row>
    <row r="70" spans="1:2" x14ac:dyDescent="0.3">
      <c r="A70">
        <f t="shared" si="4"/>
        <v>340</v>
      </c>
      <c r="B70">
        <f t="shared" si="3"/>
        <v>3.890049101195594</v>
      </c>
    </row>
    <row r="71" spans="1:2" x14ac:dyDescent="0.3">
      <c r="A71">
        <f t="shared" si="4"/>
        <v>345</v>
      </c>
      <c r="B71">
        <f t="shared" si="3"/>
        <v>1.5605301830012772</v>
      </c>
    </row>
    <row r="72" spans="1:2" x14ac:dyDescent="0.3">
      <c r="A72">
        <f t="shared" si="4"/>
        <v>350</v>
      </c>
      <c r="B72">
        <f t="shared" si="3"/>
        <v>0.26081081438745296</v>
      </c>
    </row>
    <row r="73" spans="1:2" x14ac:dyDescent="0.3">
      <c r="A73">
        <f t="shared" si="4"/>
        <v>355</v>
      </c>
      <c r="B73">
        <f t="shared" si="3"/>
        <v>5.4810971937892528E-2</v>
      </c>
    </row>
    <row r="74" spans="1:2" x14ac:dyDescent="0.3">
      <c r="A74">
        <f t="shared" si="4"/>
        <v>360</v>
      </c>
      <c r="B74">
        <f t="shared" si="3"/>
        <v>0.95266169272384515</v>
      </c>
    </row>
    <row r="75" spans="1:2" x14ac:dyDescent="0.3">
      <c r="A75">
        <f t="shared" si="4"/>
        <v>365</v>
      </c>
      <c r="B75">
        <f t="shared" si="3"/>
        <v>2.9102068316310041</v>
      </c>
    </row>
    <row r="76" spans="1:2" x14ac:dyDescent="0.3">
      <c r="A76">
        <f t="shared" si="4"/>
        <v>370</v>
      </c>
      <c r="B76">
        <f t="shared" si="3"/>
        <v>5.8311746530353119</v>
      </c>
    </row>
    <row r="77" spans="1:2" x14ac:dyDescent="0.3">
      <c r="A77">
        <f t="shared" si="4"/>
        <v>375</v>
      </c>
      <c r="B77">
        <f t="shared" si="3"/>
        <v>9.5719124583198276</v>
      </c>
    </row>
    <row r="78" spans="1:2" x14ac:dyDescent="0.3">
      <c r="A78">
        <f t="shared" si="4"/>
        <v>380</v>
      </c>
      <c r="B78">
        <f t="shared" si="3"/>
        <v>13.948451401059611</v>
      </c>
    </row>
    <row r="79" spans="1:2" x14ac:dyDescent="0.3">
      <c r="A79">
        <f t="shared" si="4"/>
        <v>385</v>
      </c>
      <c r="B79">
        <f t="shared" si="3"/>
        <v>18.745554043471259</v>
      </c>
    </row>
    <row r="80" spans="1:2" x14ac:dyDescent="0.3">
      <c r="A80">
        <f t="shared" si="4"/>
        <v>390</v>
      </c>
      <c r="B80">
        <f t="shared" si="3"/>
        <v>21.27270030315514</v>
      </c>
    </row>
    <row r="81" spans="1:2" x14ac:dyDescent="0.3">
      <c r="A81">
        <f t="shared" si="4"/>
        <v>395</v>
      </c>
      <c r="B81">
        <f t="shared" si="3"/>
        <v>16.351313039275411</v>
      </c>
    </row>
    <row r="82" spans="1:2" x14ac:dyDescent="0.3">
      <c r="A82">
        <f t="shared" si="4"/>
        <v>400</v>
      </c>
      <c r="B82">
        <f t="shared" si="3"/>
        <v>11.732317150058226</v>
      </c>
    </row>
    <row r="83" spans="1:2" x14ac:dyDescent="0.3">
      <c r="A83">
        <f t="shared" si="4"/>
        <v>405</v>
      </c>
      <c r="B83">
        <f t="shared" si="3"/>
        <v>7.6428740645081961</v>
      </c>
    </row>
    <row r="84" spans="1:2" x14ac:dyDescent="0.3">
      <c r="A84">
        <f t="shared" si="4"/>
        <v>410</v>
      </c>
      <c r="B84">
        <f t="shared" si="3"/>
        <v>4.2841018951820971</v>
      </c>
    </row>
    <row r="85" spans="1:2" x14ac:dyDescent="0.3">
      <c r="A85">
        <f t="shared" si="4"/>
        <v>415</v>
      </c>
      <c r="B85">
        <f t="shared" si="3"/>
        <v>1.8211844837599853</v>
      </c>
    </row>
    <row r="86" spans="1:2" x14ac:dyDescent="0.3">
      <c r="A86">
        <f t="shared" si="4"/>
        <v>420</v>
      </c>
      <c r="B86">
        <f t="shared" si="3"/>
        <v>0.37524768792127183</v>
      </c>
    </row>
    <row r="87" spans="1:2" x14ac:dyDescent="0.3">
      <c r="A87">
        <f t="shared" si="4"/>
        <v>425</v>
      </c>
      <c r="B87">
        <f t="shared" si="3"/>
        <v>1.740243234985811E-2</v>
      </c>
    </row>
    <row r="88" spans="1:2" x14ac:dyDescent="0.3">
      <c r="A88">
        <f t="shared" si="4"/>
        <v>430</v>
      </c>
      <c r="B88">
        <f t="shared" si="3"/>
        <v>0.76524748560230227</v>
      </c>
    </row>
    <row r="89" spans="1:2" x14ac:dyDescent="0.3">
      <c r="A89">
        <f t="shared" si="4"/>
        <v>435</v>
      </c>
      <c r="B89">
        <f t="shared" si="3"/>
        <v>2.5820039556757983</v>
      </c>
    </row>
    <row r="90" spans="1:2" x14ac:dyDescent="0.3">
      <c r="A90">
        <f t="shared" si="4"/>
        <v>440</v>
      </c>
      <c r="B90">
        <f t="shared" si="3"/>
        <v>5.3783240696358492</v>
      </c>
    </row>
    <row r="91" spans="1:2" x14ac:dyDescent="0.3">
      <c r="A91">
        <f t="shared" si="4"/>
        <v>445</v>
      </c>
      <c r="B91">
        <f t="shared" si="3"/>
        <v>9.0166852818302665</v>
      </c>
    </row>
    <row r="92" spans="1:2" x14ac:dyDescent="0.3">
      <c r="A92">
        <f t="shared" si="4"/>
        <v>450</v>
      </c>
      <c r="B92">
        <f t="shared" si="3"/>
        <v>13.31815360919868</v>
      </c>
    </row>
    <row r="93" spans="1:2" x14ac:dyDescent="0.3">
      <c r="A93">
        <f t="shared" si="4"/>
        <v>455</v>
      </c>
      <c r="B93">
        <f t="shared" si="3"/>
        <v>18.071183574001118</v>
      </c>
    </row>
    <row r="94" spans="1:2" x14ac:dyDescent="0.3">
      <c r="A94">
        <f t="shared" si="4"/>
        <v>460</v>
      </c>
      <c r="B94">
        <f t="shared" si="3"/>
        <v>21.957978025714198</v>
      </c>
    </row>
    <row r="95" spans="1:2" x14ac:dyDescent="0.3">
      <c r="A95">
        <f t="shared" si="4"/>
        <v>465</v>
      </c>
      <c r="B95">
        <f t="shared" si="3"/>
        <v>17.013796173558895</v>
      </c>
    </row>
    <row r="96" spans="1:2" x14ac:dyDescent="0.3">
      <c r="A96">
        <f t="shared" si="4"/>
        <v>470</v>
      </c>
      <c r="B96">
        <f t="shared" si="3"/>
        <v>12.33942488866022</v>
      </c>
    </row>
    <row r="97" spans="1:2" x14ac:dyDescent="0.3">
      <c r="A97">
        <f t="shared" si="4"/>
        <v>475</v>
      </c>
      <c r="B97">
        <f t="shared" si="3"/>
        <v>8.1647489525254393</v>
      </c>
    </row>
    <row r="98" spans="1:2" x14ac:dyDescent="0.3">
      <c r="A98">
        <f t="shared" si="4"/>
        <v>480</v>
      </c>
      <c r="B98">
        <f t="shared" ref="B98:B129" si="5">$A$1*(1-ABS(COS(A98/$A$1)))</f>
        <v>4.6950782147471193</v>
      </c>
    </row>
    <row r="99" spans="1:2" x14ac:dyDescent="0.3">
      <c r="A99">
        <f t="shared" si="4"/>
        <v>485</v>
      </c>
      <c r="B99">
        <f t="shared" si="5"/>
        <v>2.1010504896626259</v>
      </c>
    </row>
    <row r="100" spans="1:2" x14ac:dyDescent="0.3">
      <c r="A100">
        <f t="shared" si="4"/>
        <v>490</v>
      </c>
      <c r="B100">
        <f t="shared" si="5"/>
        <v>0.51023961778650895</v>
      </c>
    </row>
    <row r="101" spans="1:2" x14ac:dyDescent="0.3">
      <c r="A101">
        <f t="shared" si="4"/>
        <v>495</v>
      </c>
      <c r="B101">
        <f t="shared" si="5"/>
        <v>8.8140612066467394E-4</v>
      </c>
    </row>
    <row r="102" spans="1:2" x14ac:dyDescent="0.3">
      <c r="A102">
        <f t="shared" si="4"/>
        <v>500</v>
      </c>
      <c r="B102">
        <f t="shared" si="5"/>
        <v>0.5980260045271848</v>
      </c>
    </row>
    <row r="103" spans="1:2" x14ac:dyDescent="0.3">
      <c r="A103">
        <f t="shared" si="4"/>
        <v>505</v>
      </c>
      <c r="B103">
        <f t="shared" si="5"/>
        <v>2.2723059436361313</v>
      </c>
    </row>
    <row r="104" spans="1:2" x14ac:dyDescent="0.3">
      <c r="A104">
        <f t="shared" si="4"/>
        <v>510</v>
      </c>
      <c r="B104">
        <f t="shared" si="5"/>
        <v>4.9413804219738555</v>
      </c>
    </row>
    <row r="105" spans="1:2" x14ac:dyDescent="0.3">
      <c r="A105">
        <f t="shared" si="4"/>
        <v>515</v>
      </c>
      <c r="B105">
        <f t="shared" si="5"/>
        <v>8.4739848125172159</v>
      </c>
    </row>
    <row r="106" spans="1:2" x14ac:dyDescent="0.3">
      <c r="A106">
        <f t="shared" si="4"/>
        <v>520</v>
      </c>
      <c r="B106">
        <f t="shared" si="5"/>
        <v>12.696386234633597</v>
      </c>
    </row>
    <row r="107" spans="1:2" x14ac:dyDescent="0.3">
      <c r="A107">
        <f t="shared" si="4"/>
        <v>525</v>
      </c>
      <c r="B107">
        <f t="shared" si="5"/>
        <v>17.400927707480371</v>
      </c>
    </row>
    <row r="108" spans="1:2" x14ac:dyDescent="0.3">
      <c r="A108">
        <f t="shared" si="4"/>
        <v>530</v>
      </c>
      <c r="B108">
        <f t="shared" si="5"/>
        <v>22.356240684859404</v>
      </c>
    </row>
    <row r="109" spans="1:2" x14ac:dyDescent="0.3">
      <c r="A109">
        <f t="shared" si="4"/>
        <v>535</v>
      </c>
      <c r="B109">
        <f t="shared" si="5"/>
        <v>17.681376279194083</v>
      </c>
    </row>
    <row r="110" spans="1:2" x14ac:dyDescent="0.3">
      <c r="A110">
        <f t="shared" si="4"/>
        <v>540</v>
      </c>
      <c r="B110">
        <f t="shared" si="5"/>
        <v>12.955972334917568</v>
      </c>
    </row>
    <row r="111" spans="1:2" x14ac:dyDescent="0.3">
      <c r="A111">
        <f t="shared" si="4"/>
        <v>545</v>
      </c>
      <c r="B111">
        <f t="shared" si="5"/>
        <v>8.6999420412913064</v>
      </c>
    </row>
    <row r="112" spans="1:2" x14ac:dyDescent="0.3">
      <c r="A112">
        <f t="shared" si="4"/>
        <v>550</v>
      </c>
      <c r="B112">
        <f t="shared" si="5"/>
        <v>5.1225962413156818</v>
      </c>
    </row>
    <row r="113" spans="1:2" x14ac:dyDescent="0.3">
      <c r="A113">
        <f t="shared" si="4"/>
        <v>555</v>
      </c>
      <c r="B113">
        <f t="shared" si="5"/>
        <v>2.3998681904982972</v>
      </c>
    </row>
    <row r="114" spans="1:2" x14ac:dyDescent="0.3">
      <c r="A114">
        <f t="shared" si="4"/>
        <v>560</v>
      </c>
      <c r="B114">
        <f t="shared" si="5"/>
        <v>0.66566118939395069</v>
      </c>
    </row>
    <row r="115" spans="1:2" x14ac:dyDescent="0.3">
      <c r="A115">
        <f t="shared" si="4"/>
        <v>565</v>
      </c>
      <c r="B115">
        <f t="shared" si="5"/>
        <v>5.2632421509452021E-3</v>
      </c>
    </row>
    <row r="116" spans="1:2" x14ac:dyDescent="0.3">
      <c r="A116">
        <f t="shared" si="4"/>
        <v>570</v>
      </c>
      <c r="B116">
        <f t="shared" si="5"/>
        <v>0.45115260703266019</v>
      </c>
    </row>
    <row r="117" spans="1:2" x14ac:dyDescent="0.3">
      <c r="A117">
        <f t="shared" si="4"/>
        <v>575</v>
      </c>
      <c r="B117">
        <f t="shared" si="5"/>
        <v>1.9814005212227408</v>
      </c>
    </row>
    <row r="118" spans="1:2" x14ac:dyDescent="0.3">
      <c r="A118">
        <f t="shared" si="4"/>
        <v>580</v>
      </c>
      <c r="B118">
        <f t="shared" si="5"/>
        <v>4.520749653635316</v>
      </c>
    </row>
    <row r="119" spans="1:2" x14ac:dyDescent="0.3">
      <c r="A119">
        <f t="shared" si="4"/>
        <v>585</v>
      </c>
      <c r="B119">
        <f t="shared" si="5"/>
        <v>7.9443152476055916</v>
      </c>
    </row>
    <row r="120" spans="1:2" x14ac:dyDescent="0.3">
      <c r="A120">
        <f t="shared" si="4"/>
        <v>590</v>
      </c>
      <c r="B120">
        <f t="shared" si="5"/>
        <v>12.08372693189486</v>
      </c>
    </row>
    <row r="121" spans="1:2" x14ac:dyDescent="0.3">
      <c r="A121">
        <f t="shared" si="4"/>
        <v>595</v>
      </c>
      <c r="B121">
        <f t="shared" si="5"/>
        <v>16.735409146793931</v>
      </c>
    </row>
    <row r="122" spans="1:2" x14ac:dyDescent="0.3">
      <c r="A122">
        <f t="shared" si="4"/>
        <v>600</v>
      </c>
      <c r="B122">
        <f t="shared" si="5"/>
        <v>21.670592955383302</v>
      </c>
    </row>
    <row r="123" spans="1:2" x14ac:dyDescent="0.3">
      <c r="A123">
        <f t="shared" si="4"/>
        <v>605</v>
      </c>
      <c r="B123">
        <f t="shared" si="5"/>
        <v>18.353433139218378</v>
      </c>
    </row>
    <row r="124" spans="1:2" x14ac:dyDescent="0.3">
      <c r="A124">
        <f t="shared" si="4"/>
        <v>610</v>
      </c>
      <c r="B124">
        <f t="shared" si="5"/>
        <v>13.581386683887189</v>
      </c>
    </row>
    <row r="125" spans="1:2" x14ac:dyDescent="0.3">
      <c r="A125">
        <f t="shared" si="4"/>
        <v>615</v>
      </c>
      <c r="B125">
        <f t="shared" si="5"/>
        <v>9.2479561083314987</v>
      </c>
    </row>
    <row r="126" spans="1:2" x14ac:dyDescent="0.3">
      <c r="A126">
        <f t="shared" si="4"/>
        <v>620</v>
      </c>
      <c r="B126">
        <f t="shared" si="5"/>
        <v>5.5662587881985939</v>
      </c>
    </row>
    <row r="127" spans="1:2" x14ac:dyDescent="0.3">
      <c r="A127">
        <f t="shared" si="4"/>
        <v>625</v>
      </c>
      <c r="B127">
        <f t="shared" si="5"/>
        <v>2.7173599689365275</v>
      </c>
    </row>
    <row r="128" spans="1:2" x14ac:dyDescent="0.3">
      <c r="A128">
        <f t="shared" si="4"/>
        <v>630</v>
      </c>
      <c r="B128">
        <f t="shared" si="5"/>
        <v>0.84136800794475164</v>
      </c>
    </row>
    <row r="129" spans="1:2" x14ac:dyDescent="0.3">
      <c r="A129">
        <f t="shared" si="4"/>
        <v>635</v>
      </c>
      <c r="B129">
        <f t="shared" si="5"/>
        <v>3.0543869485004649E-2</v>
      </c>
    </row>
    <row r="130" spans="1:2" x14ac:dyDescent="0.3">
      <c r="A130">
        <f t="shared" si="4"/>
        <v>640</v>
      </c>
      <c r="B130">
        <f t="shared" ref="B130:B149" si="6">$A$1*(1-ABS(COS(A130/$A$1)))</f>
        <v>0.32476374621508791</v>
      </c>
    </row>
    <row r="131" spans="1:2" x14ac:dyDescent="0.3">
      <c r="A131">
        <f t="shared" si="4"/>
        <v>645</v>
      </c>
      <c r="B131">
        <f t="shared" si="6"/>
        <v>1.7095579548439896</v>
      </c>
    </row>
    <row r="132" spans="1:2" x14ac:dyDescent="0.3">
      <c r="A132">
        <f t="shared" ref="A132:A190" si="7">A131+5</f>
        <v>650</v>
      </c>
      <c r="B132">
        <f t="shared" si="6"/>
        <v>4.1168225526849236</v>
      </c>
    </row>
    <row r="133" spans="1:2" x14ac:dyDescent="0.3">
      <c r="A133">
        <f t="shared" si="7"/>
        <v>655</v>
      </c>
      <c r="B133">
        <f t="shared" si="6"/>
        <v>7.4281686779260756</v>
      </c>
    </row>
    <row r="134" spans="1:2" x14ac:dyDescent="0.3">
      <c r="A134">
        <f t="shared" si="7"/>
        <v>660</v>
      </c>
      <c r="B134">
        <f t="shared" si="6"/>
        <v>11.480744893636119</v>
      </c>
    </row>
    <row r="135" spans="1:2" x14ac:dyDescent="0.3">
      <c r="A135">
        <f t="shared" si="7"/>
        <v>665</v>
      </c>
      <c r="B135">
        <f t="shared" si="6"/>
        <v>16.075246193620998</v>
      </c>
    </row>
    <row r="136" spans="1:2" x14ac:dyDescent="0.3">
      <c r="A136">
        <f t="shared" si="7"/>
        <v>670</v>
      </c>
      <c r="B136">
        <f t="shared" si="6"/>
        <v>20.985715788591168</v>
      </c>
    </row>
    <row r="137" spans="1:2" x14ac:dyDescent="0.3">
      <c r="A137">
        <f t="shared" si="7"/>
        <v>675</v>
      </c>
      <c r="B137">
        <f t="shared" si="6"/>
        <v>19.02934237752936</v>
      </c>
    </row>
    <row r="138" spans="1:2" x14ac:dyDescent="0.3">
      <c r="A138">
        <f t="shared" si="7"/>
        <v>680</v>
      </c>
      <c r="B138">
        <f t="shared" si="6"/>
        <v>14.215086892807919</v>
      </c>
    </row>
    <row r="139" spans="1:2" x14ac:dyDescent="0.3">
      <c r="A139">
        <f t="shared" si="7"/>
        <v>685</v>
      </c>
      <c r="B139">
        <f t="shared" si="6"/>
        <v>9.808282019809873</v>
      </c>
    </row>
    <row r="140" spans="1:2" x14ac:dyDescent="0.3">
      <c r="A140">
        <f t="shared" si="7"/>
        <v>690</v>
      </c>
      <c r="B140">
        <f t="shared" si="6"/>
        <v>6.0256536695999481</v>
      </c>
    </row>
    <row r="141" spans="1:2" x14ac:dyDescent="0.3">
      <c r="A141">
        <f t="shared" si="7"/>
        <v>695</v>
      </c>
      <c r="B141">
        <f t="shared" si="6"/>
        <v>3.0532308584484973</v>
      </c>
    </row>
    <row r="142" spans="1:2" x14ac:dyDescent="0.3">
      <c r="A142">
        <f t="shared" si="7"/>
        <v>700</v>
      </c>
      <c r="B142">
        <f t="shared" si="6"/>
        <v>1.0371968325807934</v>
      </c>
    </row>
    <row r="143" spans="1:2" x14ac:dyDescent="0.3">
      <c r="A143">
        <f t="shared" si="7"/>
        <v>705</v>
      </c>
      <c r="B143">
        <f t="shared" si="6"/>
        <v>7.6699801092949549E-2</v>
      </c>
    </row>
    <row r="144" spans="1:2" x14ac:dyDescent="0.3">
      <c r="A144">
        <f t="shared" si="7"/>
        <v>710</v>
      </c>
      <c r="B144">
        <f t="shared" si="6"/>
        <v>0.21897684396092715</v>
      </c>
    </row>
    <row r="145" spans="1:2" x14ac:dyDescent="0.3">
      <c r="A145">
        <f t="shared" si="7"/>
        <v>715</v>
      </c>
      <c r="B145">
        <f t="shared" si="6"/>
        <v>1.4570308005143893</v>
      </c>
    </row>
    <row r="146" spans="1:2" x14ac:dyDescent="0.3">
      <c r="A146">
        <f t="shared" si="7"/>
        <v>720</v>
      </c>
      <c r="B146">
        <f t="shared" si="6"/>
        <v>3.7299743886035195</v>
      </c>
    </row>
    <row r="147" spans="1:2" x14ac:dyDescent="0.3">
      <c r="A147">
        <f t="shared" si="7"/>
        <v>725</v>
      </c>
      <c r="B147">
        <f t="shared" si="6"/>
        <v>6.9260246307368876</v>
      </c>
    </row>
    <row r="148" spans="1:2" x14ac:dyDescent="0.3">
      <c r="A148">
        <f t="shared" si="7"/>
        <v>730</v>
      </c>
      <c r="B148">
        <f t="shared" si="6"/>
        <v>10.888000321824304</v>
      </c>
    </row>
    <row r="149" spans="1:2" x14ac:dyDescent="0.3">
      <c r="A149">
        <f t="shared" si="7"/>
        <v>735</v>
      </c>
      <c r="B149">
        <f t="shared" si="6"/>
        <v>15.421052173999922</v>
      </c>
    </row>
    <row r="150" spans="1:2" x14ac:dyDescent="0.3">
      <c r="A150">
        <f t="shared" si="7"/>
        <v>740</v>
      </c>
      <c r="B150">
        <f t="shared" ref="B150:B191" si="8">150*(1-ABS(COS(A150/150)))</f>
        <v>117.12733240966719</v>
      </c>
    </row>
    <row r="151" spans="1:2" x14ac:dyDescent="0.3">
      <c r="A151">
        <f t="shared" si="7"/>
        <v>745</v>
      </c>
      <c r="B151">
        <f t="shared" si="8"/>
        <v>112.2680420370958</v>
      </c>
    </row>
    <row r="152" spans="1:2" x14ac:dyDescent="0.3">
      <c r="A152">
        <f t="shared" si="7"/>
        <v>750</v>
      </c>
      <c r="B152">
        <f t="shared" si="8"/>
        <v>107.45067218051607</v>
      </c>
    </row>
    <row r="153" spans="1:2" x14ac:dyDescent="0.3">
      <c r="A153">
        <f t="shared" si="7"/>
        <v>755</v>
      </c>
      <c r="B153">
        <f t="shared" si="8"/>
        <v>102.68057497750613</v>
      </c>
    </row>
    <row r="154" spans="1:2" x14ac:dyDescent="0.3">
      <c r="A154">
        <f t="shared" si="7"/>
        <v>760</v>
      </c>
      <c r="B154">
        <f t="shared" si="8"/>
        <v>97.963050045336757</v>
      </c>
    </row>
    <row r="155" spans="1:2" x14ac:dyDescent="0.3">
      <c r="A155">
        <f t="shared" si="7"/>
        <v>765</v>
      </c>
      <c r="B155">
        <f t="shared" si="8"/>
        <v>93.30333859305297</v>
      </c>
    </row>
    <row r="156" spans="1:2" x14ac:dyDescent="0.3">
      <c r="A156">
        <f t="shared" si="7"/>
        <v>770</v>
      </c>
      <c r="B156">
        <f t="shared" si="8"/>
        <v>88.70661759844738</v>
      </c>
    </row>
    <row r="157" spans="1:2" x14ac:dyDescent="0.3">
      <c r="A157">
        <f t="shared" si="7"/>
        <v>775</v>
      </c>
      <c r="B157">
        <f t="shared" si="8"/>
        <v>84.177994056395889</v>
      </c>
    </row>
    <row r="158" spans="1:2" x14ac:dyDescent="0.3">
      <c r="A158">
        <f t="shared" si="7"/>
        <v>780</v>
      </c>
      <c r="B158">
        <f t="shared" si="8"/>
        <v>79.72249930494344</v>
      </c>
    </row>
    <row r="159" spans="1:2" x14ac:dyDescent="0.3">
      <c r="A159">
        <f t="shared" si="7"/>
        <v>785</v>
      </c>
      <c r="B159">
        <f t="shared" si="8"/>
        <v>75.345083435446611</v>
      </c>
    </row>
    <row r="160" spans="1:2" x14ac:dyDescent="0.3">
      <c r="A160">
        <f t="shared" si="7"/>
        <v>790</v>
      </c>
      <c r="B160">
        <f t="shared" si="8"/>
        <v>71.050609792981234</v>
      </c>
    </row>
    <row r="161" spans="1:2" x14ac:dyDescent="0.3">
      <c r="A161">
        <f t="shared" si="7"/>
        <v>795</v>
      </c>
      <c r="B161">
        <f t="shared" si="8"/>
        <v>66.84384957312588</v>
      </c>
    </row>
    <row r="162" spans="1:2" x14ac:dyDescent="0.3">
      <c r="A162">
        <f t="shared" si="7"/>
        <v>800</v>
      </c>
      <c r="B162">
        <f t="shared" si="8"/>
        <v>62.729476521124404</v>
      </c>
    </row>
    <row r="163" spans="1:2" x14ac:dyDescent="0.3">
      <c r="A163">
        <f t="shared" si="7"/>
        <v>805</v>
      </c>
      <c r="B163">
        <f t="shared" si="8"/>
        <v>58.712061739316404</v>
      </c>
    </row>
    <row r="164" spans="1:2" x14ac:dyDescent="0.3">
      <c r="A164">
        <f t="shared" si="7"/>
        <v>810</v>
      </c>
      <c r="B164">
        <f t="shared" si="8"/>
        <v>54.796068608604799</v>
      </c>
    </row>
    <row r="165" spans="1:2" x14ac:dyDescent="0.3">
      <c r="A165">
        <f t="shared" si="7"/>
        <v>815</v>
      </c>
      <c r="B165">
        <f t="shared" si="8"/>
        <v>50.985847829603351</v>
      </c>
    </row>
    <row r="166" spans="1:2" x14ac:dyDescent="0.3">
      <c r="A166">
        <f t="shared" si="7"/>
        <v>820</v>
      </c>
      <c r="B166">
        <f t="shared" si="8"/>
        <v>47.285632588971794</v>
      </c>
    </row>
    <row r="167" spans="1:2" x14ac:dyDescent="0.3">
      <c r="A167">
        <f t="shared" si="7"/>
        <v>825</v>
      </c>
      <c r="B167">
        <f t="shared" si="8"/>
        <v>43.699533856311</v>
      </c>
    </row>
    <row r="168" spans="1:2" x14ac:dyDescent="0.3">
      <c r="A168">
        <f t="shared" si="7"/>
        <v>830</v>
      </c>
      <c r="B168">
        <f t="shared" si="8"/>
        <v>40.231535816841834</v>
      </c>
    </row>
    <row r="169" spans="1:2" x14ac:dyDescent="0.3">
      <c r="A169">
        <f t="shared" si="7"/>
        <v>835</v>
      </c>
      <c r="B169">
        <f t="shared" si="8"/>
        <v>36.885491444942559</v>
      </c>
    </row>
    <row r="170" spans="1:2" x14ac:dyDescent="0.3">
      <c r="A170">
        <f t="shared" si="7"/>
        <v>840</v>
      </c>
      <c r="B170">
        <f t="shared" si="8"/>
        <v>33.665118223462557</v>
      </c>
    </row>
    <row r="171" spans="1:2" x14ac:dyDescent="0.3">
      <c r="A171">
        <f t="shared" si="7"/>
        <v>845</v>
      </c>
      <c r="B171">
        <f t="shared" si="8"/>
        <v>30.573994013568239</v>
      </c>
    </row>
    <row r="172" spans="1:2" x14ac:dyDescent="0.3">
      <c r="A172">
        <f t="shared" si="7"/>
        <v>850</v>
      </c>
      <c r="B172">
        <f t="shared" si="8"/>
        <v>27.615553079710054</v>
      </c>
    </row>
    <row r="173" spans="1:2" x14ac:dyDescent="0.3">
      <c r="A173">
        <f t="shared" si="7"/>
        <v>855</v>
      </c>
      <c r="B173">
        <f t="shared" si="8"/>
        <v>24.793082274126032</v>
      </c>
    </row>
    <row r="174" spans="1:2" x14ac:dyDescent="0.3">
      <c r="A174">
        <f t="shared" si="7"/>
        <v>860</v>
      </c>
      <c r="B174">
        <f t="shared" si="8"/>
        <v>22.109717385122146</v>
      </c>
    </row>
    <row r="175" spans="1:2" x14ac:dyDescent="0.3">
      <c r="A175">
        <f t="shared" si="7"/>
        <v>865</v>
      </c>
      <c r="B175">
        <f t="shared" si="8"/>
        <v>19.568439653185621</v>
      </c>
    </row>
    <row r="176" spans="1:2" x14ac:dyDescent="0.3">
      <c r="A176">
        <f t="shared" si="7"/>
        <v>870</v>
      </c>
      <c r="B176">
        <f t="shared" si="8"/>
        <v>17.172072458802162</v>
      </c>
    </row>
    <row r="177" spans="1:2" x14ac:dyDescent="0.3">
      <c r="A177">
        <f t="shared" si="7"/>
        <v>875</v>
      </c>
      <c r="B177">
        <f t="shared" si="8"/>
        <v>14.923278185657068</v>
      </c>
    </row>
    <row r="178" spans="1:2" x14ac:dyDescent="0.3">
      <c r="A178">
        <f t="shared" si="7"/>
        <v>880</v>
      </c>
      <c r="B178">
        <f t="shared" si="8"/>
        <v>12.824555262704962</v>
      </c>
    </row>
    <row r="179" spans="1:2" x14ac:dyDescent="0.3">
      <c r="A179">
        <f t="shared" si="7"/>
        <v>885</v>
      </c>
      <c r="B179">
        <f t="shared" si="8"/>
        <v>10.878235388394614</v>
      </c>
    </row>
    <row r="180" spans="1:2" x14ac:dyDescent="0.3">
      <c r="A180">
        <f t="shared" si="7"/>
        <v>890</v>
      </c>
      <c r="B180">
        <f t="shared" si="8"/>
        <v>9.0864809401330238</v>
      </c>
    </row>
    <row r="181" spans="1:2" x14ac:dyDescent="0.3">
      <c r="A181">
        <f t="shared" si="7"/>
        <v>895</v>
      </c>
      <c r="B181">
        <f t="shared" si="8"/>
        <v>7.4512825718659244</v>
      </c>
    </row>
    <row r="182" spans="1:2" x14ac:dyDescent="0.3">
      <c r="A182">
        <f t="shared" si="7"/>
        <v>900</v>
      </c>
      <c r="B182">
        <f t="shared" si="8"/>
        <v>5.9744570024451047</v>
      </c>
    </row>
    <row r="183" spans="1:2" x14ac:dyDescent="0.3">
      <c r="A183">
        <f t="shared" si="7"/>
        <v>905</v>
      </c>
      <c r="B183">
        <f t="shared" si="8"/>
        <v>4.6576449972387524</v>
      </c>
    </row>
    <row r="184" spans="1:2" x14ac:dyDescent="0.3">
      <c r="A184">
        <f t="shared" si="7"/>
        <v>910</v>
      </c>
      <c r="B184">
        <f t="shared" si="8"/>
        <v>3.5023095452276607</v>
      </c>
    </row>
    <row r="185" spans="1:2" x14ac:dyDescent="0.3">
      <c r="A185">
        <f t="shared" si="7"/>
        <v>915</v>
      </c>
      <c r="B185">
        <f t="shared" si="8"/>
        <v>2.5097342336123263</v>
      </c>
    </row>
    <row r="186" spans="1:2" x14ac:dyDescent="0.3">
      <c r="A186">
        <f t="shared" si="7"/>
        <v>920</v>
      </c>
      <c r="B186">
        <f t="shared" si="8"/>
        <v>1.6810218217370554</v>
      </c>
    </row>
    <row r="187" spans="1:2" x14ac:dyDescent="0.3">
      <c r="A187">
        <f t="shared" si="7"/>
        <v>925</v>
      </c>
      <c r="B187">
        <f t="shared" si="8"/>
        <v>1.017093015915338</v>
      </c>
    </row>
    <row r="188" spans="1:2" x14ac:dyDescent="0.3">
      <c r="A188">
        <f t="shared" si="7"/>
        <v>930</v>
      </c>
      <c r="B188">
        <f t="shared" si="8"/>
        <v>0.51868544651737514</v>
      </c>
    </row>
    <row r="189" spans="1:2" x14ac:dyDescent="0.3">
      <c r="A189">
        <f t="shared" si="7"/>
        <v>935</v>
      </c>
      <c r="B189">
        <f t="shared" si="8"/>
        <v>0.1863528484567889</v>
      </c>
    </row>
    <row r="190" spans="1:2" x14ac:dyDescent="0.3">
      <c r="A190">
        <f t="shared" si="7"/>
        <v>940</v>
      </c>
      <c r="B190">
        <f t="shared" si="8"/>
        <v>2.0464445986534407E-2</v>
      </c>
    </row>
    <row r="191" spans="1:2" x14ac:dyDescent="0.3">
      <c r="A191">
        <v>942</v>
      </c>
      <c r="B191">
        <f t="shared" si="8"/>
        <v>7.6096299371775089E-4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6AE4-C34F-4CFE-873B-3512F9261D64}">
  <dimension ref="A2:Q401"/>
  <sheetViews>
    <sheetView topLeftCell="A315" workbookViewId="0">
      <selection activeCell="M316" sqref="M316"/>
    </sheetView>
  </sheetViews>
  <sheetFormatPr defaultRowHeight="14.4" x14ac:dyDescent="0.3"/>
  <sheetData>
    <row r="2" spans="1:3" x14ac:dyDescent="0.3">
      <c r="A2" s="1">
        <v>-167</v>
      </c>
      <c r="B2" s="1">
        <f>SQRT(137.5^2-157.5^2*SIN(A2/157.5)^2)</f>
        <v>4.6772589957931103</v>
      </c>
      <c r="C2" s="1">
        <f>-SQRT(137.5^2-157.5^2*SIN(A2/157.5)^2)</f>
        <v>-4.6772589957931103</v>
      </c>
    </row>
    <row r="3" spans="1:3" x14ac:dyDescent="0.3">
      <c r="A3" s="1">
        <v>-166</v>
      </c>
      <c r="B3" s="1">
        <f t="shared" ref="B3:B66" si="0">SQRT(137.5^2-157.5^2*SIN(A3/157.5)^2)</f>
        <v>12.517251430212802</v>
      </c>
      <c r="C3" s="1">
        <f t="shared" ref="C3:C66" si="1">-SQRT(137.5^2-157.5^2*SIN(A3/157.5)^2)</f>
        <v>-12.517251430212802</v>
      </c>
    </row>
    <row r="4" spans="1:3" x14ac:dyDescent="0.3">
      <c r="A4" s="1">
        <v>-165</v>
      </c>
      <c r="B4" s="1">
        <f t="shared" si="0"/>
        <v>17.102916805956031</v>
      </c>
      <c r="C4" s="1">
        <f t="shared" si="1"/>
        <v>-17.102916805956031</v>
      </c>
    </row>
    <row r="5" spans="1:3" x14ac:dyDescent="0.3">
      <c r="A5" s="1">
        <v>-164</v>
      </c>
      <c r="B5" s="1">
        <f t="shared" si="0"/>
        <v>20.720506496455897</v>
      </c>
      <c r="C5" s="1">
        <f t="shared" si="1"/>
        <v>-20.720506496455897</v>
      </c>
    </row>
    <row r="6" spans="1:3" x14ac:dyDescent="0.3">
      <c r="A6" s="1">
        <v>-163</v>
      </c>
      <c r="B6" s="1">
        <f t="shared" si="0"/>
        <v>23.814877671828768</v>
      </c>
      <c r="C6" s="1">
        <f t="shared" si="1"/>
        <v>-23.814877671828768</v>
      </c>
    </row>
    <row r="7" spans="1:3" x14ac:dyDescent="0.3">
      <c r="A7" s="1">
        <v>-162</v>
      </c>
      <c r="B7" s="1">
        <f t="shared" si="0"/>
        <v>26.569052844883974</v>
      </c>
      <c r="C7" s="1">
        <f t="shared" si="1"/>
        <v>-26.569052844883974</v>
      </c>
    </row>
    <row r="8" spans="1:3" x14ac:dyDescent="0.3">
      <c r="A8" s="1">
        <v>-161</v>
      </c>
      <c r="B8" s="1">
        <f t="shared" si="0"/>
        <v>29.079469139226951</v>
      </c>
      <c r="C8" s="1">
        <f t="shared" si="1"/>
        <v>-29.079469139226951</v>
      </c>
    </row>
    <row r="9" spans="1:3" x14ac:dyDescent="0.3">
      <c r="A9" s="1">
        <v>-160</v>
      </c>
      <c r="B9" s="1">
        <f t="shared" si="0"/>
        <v>31.404279025742696</v>
      </c>
      <c r="C9" s="1">
        <f t="shared" si="1"/>
        <v>-31.404279025742696</v>
      </c>
    </row>
    <row r="10" spans="1:3" x14ac:dyDescent="0.3">
      <c r="A10" s="1">
        <v>-159</v>
      </c>
      <c r="B10" s="1">
        <f t="shared" si="0"/>
        <v>33.581714409251383</v>
      </c>
      <c r="C10" s="1">
        <f t="shared" si="1"/>
        <v>-33.581714409251383</v>
      </c>
    </row>
    <row r="11" spans="1:3" x14ac:dyDescent="0.3">
      <c r="A11" s="1">
        <v>-158</v>
      </c>
      <c r="B11" s="1">
        <f t="shared" si="0"/>
        <v>35.63847798457617</v>
      </c>
      <c r="C11" s="1">
        <f t="shared" si="1"/>
        <v>-35.63847798457617</v>
      </c>
    </row>
    <row r="12" spans="1:3" x14ac:dyDescent="0.3">
      <c r="A12" s="1">
        <v>-157</v>
      </c>
      <c r="B12" s="1">
        <f t="shared" si="0"/>
        <v>37.594075272103836</v>
      </c>
      <c r="C12" s="1">
        <f t="shared" si="1"/>
        <v>-37.594075272103836</v>
      </c>
    </row>
    <row r="13" spans="1:3" x14ac:dyDescent="0.3">
      <c r="A13" s="1">
        <v>-156</v>
      </c>
      <c r="B13" s="1">
        <f t="shared" si="0"/>
        <v>39.463256294741541</v>
      </c>
      <c r="C13" s="1">
        <f t="shared" si="1"/>
        <v>-39.463256294741541</v>
      </c>
    </row>
    <row r="14" spans="1:3" x14ac:dyDescent="0.3">
      <c r="A14" s="1">
        <v>-155</v>
      </c>
      <c r="B14" s="1">
        <f t="shared" si="0"/>
        <v>41.257486513058623</v>
      </c>
      <c r="C14" s="1">
        <f t="shared" si="1"/>
        <v>-41.257486513058623</v>
      </c>
    </row>
    <row r="15" spans="1:3" x14ac:dyDescent="0.3">
      <c r="A15" s="1">
        <v>-154</v>
      </c>
      <c r="B15" s="1">
        <f t="shared" si="0"/>
        <v>42.985880586553627</v>
      </c>
      <c r="C15" s="1">
        <f t="shared" si="1"/>
        <v>-42.985880586553627</v>
      </c>
    </row>
    <row r="16" spans="1:3" x14ac:dyDescent="0.3">
      <c r="A16" s="1">
        <v>-153</v>
      </c>
      <c r="B16" s="1">
        <f t="shared" si="0"/>
        <v>44.655820763921867</v>
      </c>
      <c r="C16" s="1">
        <f t="shared" si="1"/>
        <v>-44.655820763921867</v>
      </c>
    </row>
    <row r="17" spans="1:3" x14ac:dyDescent="0.3">
      <c r="A17" s="1">
        <v>-152</v>
      </c>
      <c r="B17" s="1">
        <f t="shared" si="0"/>
        <v>46.273380994513502</v>
      </c>
      <c r="C17" s="1">
        <f t="shared" si="1"/>
        <v>-46.273380994513502</v>
      </c>
    </row>
    <row r="18" spans="1:3" x14ac:dyDescent="0.3">
      <c r="A18" s="1">
        <v>-151</v>
      </c>
      <c r="B18" s="1">
        <f t="shared" si="0"/>
        <v>47.84362647887513</v>
      </c>
      <c r="C18" s="1">
        <f t="shared" si="1"/>
        <v>-47.84362647887513</v>
      </c>
    </row>
    <row r="19" spans="1:3" x14ac:dyDescent="0.3">
      <c r="A19" s="1">
        <v>-150</v>
      </c>
      <c r="B19" s="1">
        <f t="shared" si="0"/>
        <v>49.370830616913544</v>
      </c>
      <c r="C19" s="1">
        <f t="shared" si="1"/>
        <v>-49.370830616913544</v>
      </c>
    </row>
    <row r="20" spans="1:3" x14ac:dyDescent="0.3">
      <c r="A20" s="1">
        <v>-149</v>
      </c>
      <c r="B20" s="1">
        <f t="shared" si="0"/>
        <v>50.858635572526865</v>
      </c>
      <c r="C20" s="1">
        <f t="shared" si="1"/>
        <v>-50.858635572526865</v>
      </c>
    </row>
    <row r="21" spans="1:3" x14ac:dyDescent="0.3">
      <c r="A21" s="1">
        <v>-148</v>
      </c>
      <c r="B21" s="1">
        <f t="shared" si="0"/>
        <v>52.310173375738167</v>
      </c>
      <c r="C21" s="1">
        <f t="shared" si="1"/>
        <v>-52.310173375738167</v>
      </c>
    </row>
    <row r="22" spans="1:3" x14ac:dyDescent="0.3">
      <c r="A22" s="1">
        <v>-147</v>
      </c>
      <c r="B22" s="1">
        <f t="shared" si="0"/>
        <v>53.728158793482727</v>
      </c>
      <c r="C22" s="1">
        <f t="shared" si="1"/>
        <v>-53.728158793482727</v>
      </c>
    </row>
    <row r="23" spans="1:3" x14ac:dyDescent="0.3">
      <c r="A23" s="1">
        <v>-146</v>
      </c>
      <c r="B23" s="1">
        <f t="shared" si="0"/>
        <v>55.114961609399309</v>
      </c>
      <c r="C23" s="1">
        <f t="shared" si="1"/>
        <v>-55.114961609399309</v>
      </c>
    </row>
    <row r="24" spans="1:3" x14ac:dyDescent="0.3">
      <c r="A24" s="1">
        <v>-145</v>
      </c>
      <c r="B24" s="1">
        <f t="shared" si="0"/>
        <v>56.472663624684088</v>
      </c>
      <c r="C24" s="1">
        <f t="shared" si="1"/>
        <v>-56.472663624684088</v>
      </c>
    </row>
    <row r="25" spans="1:3" x14ac:dyDescent="0.3">
      <c r="A25" s="1">
        <v>-144</v>
      </c>
      <c r="B25" s="1">
        <f t="shared" si="0"/>
        <v>57.803104145709426</v>
      </c>
      <c r="C25" s="1">
        <f t="shared" si="1"/>
        <v>-57.803104145709426</v>
      </c>
    </row>
    <row r="26" spans="1:3" x14ac:dyDescent="0.3">
      <c r="A26" s="1">
        <v>-143</v>
      </c>
      <c r="B26" s="1">
        <f t="shared" si="0"/>
        <v>59.107916674821169</v>
      </c>
      <c r="C26" s="1">
        <f t="shared" si="1"/>
        <v>-59.107916674821169</v>
      </c>
    </row>
    <row r="27" spans="1:3" x14ac:dyDescent="0.3">
      <c r="A27" s="1">
        <v>-142</v>
      </c>
      <c r="B27" s="1">
        <f t="shared" si="0"/>
        <v>60.388558794864835</v>
      </c>
      <c r="C27" s="1">
        <f t="shared" si="1"/>
        <v>-60.388558794864835</v>
      </c>
    </row>
    <row r="28" spans="1:3" x14ac:dyDescent="0.3">
      <c r="A28" s="1">
        <v>-141</v>
      </c>
      <c r="B28" s="1">
        <f t="shared" si="0"/>
        <v>61.646336727041806</v>
      </c>
      <c r="C28" s="1">
        <f t="shared" si="1"/>
        <v>-61.646336727041806</v>
      </c>
    </row>
    <row r="29" spans="1:3" x14ac:dyDescent="0.3">
      <c r="A29" s="1">
        <v>-140</v>
      </c>
      <c r="B29" s="1">
        <f t="shared" si="0"/>
        <v>62.882425676286481</v>
      </c>
      <c r="C29" s="1">
        <f t="shared" si="1"/>
        <v>-62.882425676286481</v>
      </c>
    </row>
    <row r="30" spans="1:3" x14ac:dyDescent="0.3">
      <c r="A30" s="1">
        <v>-139</v>
      </c>
      <c r="B30" s="1">
        <f t="shared" si="0"/>
        <v>64.097886813227674</v>
      </c>
      <c r="C30" s="1">
        <f t="shared" si="1"/>
        <v>-64.097886813227674</v>
      </c>
    </row>
    <row r="31" spans="1:3" x14ac:dyDescent="0.3">
      <c r="A31" s="1">
        <v>-138</v>
      </c>
      <c r="B31" s="1">
        <f t="shared" si="0"/>
        <v>65.293681546866893</v>
      </c>
      <c r="C31" s="1">
        <f t="shared" si="1"/>
        <v>-65.293681546866893</v>
      </c>
    </row>
    <row r="32" spans="1:3" x14ac:dyDescent="0.3">
      <c r="A32" s="1">
        <v>-137</v>
      </c>
      <c r="B32" s="1">
        <f t="shared" si="0"/>
        <v>66.470683597030046</v>
      </c>
      <c r="C32" s="1">
        <f t="shared" si="1"/>
        <v>-66.470683597030046</v>
      </c>
    </row>
    <row r="33" spans="1:3" x14ac:dyDescent="0.3">
      <c r="A33" s="1">
        <v>-136</v>
      </c>
      <c r="B33" s="1">
        <f t="shared" si="0"/>
        <v>67.629689266457149</v>
      </c>
      <c r="C33" s="1">
        <f t="shared" si="1"/>
        <v>-67.629689266457149</v>
      </c>
    </row>
    <row r="34" spans="1:3" x14ac:dyDescent="0.3">
      <c r="A34" s="1">
        <v>-135</v>
      </c>
      <c r="B34" s="1">
        <f t="shared" si="0"/>
        <v>68.771426229350041</v>
      </c>
      <c r="C34" s="1">
        <f t="shared" si="1"/>
        <v>-68.771426229350041</v>
      </c>
    </row>
    <row r="35" spans="1:3" x14ac:dyDescent="0.3">
      <c r="A35" s="1">
        <v>-134</v>
      </c>
      <c r="B35" s="1">
        <f t="shared" si="0"/>
        <v>69.896561089427905</v>
      </c>
      <c r="C35" s="1">
        <f t="shared" si="1"/>
        <v>-69.896561089427905</v>
      </c>
    </row>
    <row r="36" spans="1:3" x14ac:dyDescent="0.3">
      <c r="A36" s="1">
        <v>-133</v>
      </c>
      <c r="B36" s="1">
        <f t="shared" si="0"/>
        <v>71.005705911125517</v>
      </c>
      <c r="C36" s="1">
        <f t="shared" si="1"/>
        <v>-71.005705911125517</v>
      </c>
    </row>
    <row r="37" spans="1:3" x14ac:dyDescent="0.3">
      <c r="A37" s="1">
        <v>-132</v>
      </c>
      <c r="B37" s="1">
        <f t="shared" si="0"/>
        <v>72.099423888958285</v>
      </c>
      <c r="C37" s="1">
        <f t="shared" si="1"/>
        <v>-72.099423888958285</v>
      </c>
    </row>
    <row r="38" spans="1:3" x14ac:dyDescent="0.3">
      <c r="A38" s="1">
        <v>-131</v>
      </c>
      <c r="B38" s="1">
        <f t="shared" si="0"/>
        <v>73.178234289668211</v>
      </c>
      <c r="C38" s="1">
        <f t="shared" si="1"/>
        <v>-73.178234289668211</v>
      </c>
    </row>
    <row r="39" spans="1:3" x14ac:dyDescent="0.3">
      <c r="A39" s="1">
        <v>-130</v>
      </c>
      <c r="B39" s="1">
        <f t="shared" si="0"/>
        <v>74.242616777638233</v>
      </c>
      <c r="C39" s="1">
        <f t="shared" si="1"/>
        <v>-74.242616777638233</v>
      </c>
    </row>
    <row r="40" spans="1:3" x14ac:dyDescent="0.3">
      <c r="A40" s="1">
        <v>-129</v>
      </c>
      <c r="B40" s="1">
        <f t="shared" si="0"/>
        <v>75.293015214788412</v>
      </c>
      <c r="C40" s="1">
        <f t="shared" si="1"/>
        <v>-75.293015214788412</v>
      </c>
    </row>
    <row r="41" spans="1:3" x14ac:dyDescent="0.3">
      <c r="A41" s="1">
        <v>-128</v>
      </c>
      <c r="B41" s="1">
        <f t="shared" si="0"/>
        <v>76.329841010666684</v>
      </c>
      <c r="C41" s="1">
        <f t="shared" si="1"/>
        <v>-76.329841010666684</v>
      </c>
    </row>
    <row r="42" spans="1:3" x14ac:dyDescent="0.3">
      <c r="A42" s="1">
        <v>-127</v>
      </c>
      <c r="B42" s="1">
        <f t="shared" si="0"/>
        <v>77.353476085907047</v>
      </c>
      <c r="C42" s="1">
        <f t="shared" si="1"/>
        <v>-77.353476085907047</v>
      </c>
    </row>
    <row r="43" spans="1:3" x14ac:dyDescent="0.3">
      <c r="A43" s="1">
        <v>-126</v>
      </c>
      <c r="B43" s="1">
        <f t="shared" si="0"/>
        <v>78.364275502022139</v>
      </c>
      <c r="C43" s="1">
        <f t="shared" si="1"/>
        <v>-78.364275502022139</v>
      </c>
    </row>
    <row r="44" spans="1:3" x14ac:dyDescent="0.3">
      <c r="A44" s="1">
        <v>-125</v>
      </c>
      <c r="B44" s="1">
        <f t="shared" si="0"/>
        <v>79.362569802146254</v>
      </c>
      <c r="C44" s="1">
        <f t="shared" si="1"/>
        <v>-79.362569802146254</v>
      </c>
    </row>
    <row r="45" spans="1:3" x14ac:dyDescent="0.3">
      <c r="A45" s="1">
        <v>-124</v>
      </c>
      <c r="B45" s="1">
        <f t="shared" si="0"/>
        <v>80.348667100474742</v>
      </c>
      <c r="C45" s="1">
        <f t="shared" si="1"/>
        <v>-80.348667100474742</v>
      </c>
    </row>
    <row r="46" spans="1:3" x14ac:dyDescent="0.3">
      <c r="A46" s="1">
        <v>-123</v>
      </c>
      <c r="B46" s="1">
        <f t="shared" si="0"/>
        <v>81.322854952468376</v>
      </c>
      <c r="C46" s="1">
        <f t="shared" si="1"/>
        <v>-81.322854952468376</v>
      </c>
    </row>
    <row r="47" spans="1:3" x14ac:dyDescent="0.3">
      <c r="A47" s="1">
        <v>-122</v>
      </c>
      <c r="B47" s="1">
        <f t="shared" si="0"/>
        <v>82.285402033173554</v>
      </c>
      <c r="C47" s="1">
        <f t="shared" si="1"/>
        <v>-82.285402033173554</v>
      </c>
    </row>
    <row r="48" spans="1:3" x14ac:dyDescent="0.3">
      <c r="A48" s="1">
        <v>-121</v>
      </c>
      <c r="B48" s="1">
        <f t="shared" si="0"/>
        <v>83.23655964707622</v>
      </c>
      <c r="C48" s="1">
        <f t="shared" si="1"/>
        <v>-83.23655964707622</v>
      </c>
    </row>
    <row r="49" spans="1:3" x14ac:dyDescent="0.3">
      <c r="A49" s="1">
        <v>-120</v>
      </c>
      <c r="B49" s="1">
        <f t="shared" si="0"/>
        <v>84.176563089609772</v>
      </c>
      <c r="C49" s="1">
        <f t="shared" si="1"/>
        <v>-84.176563089609772</v>
      </c>
    </row>
    <row r="50" spans="1:3" x14ac:dyDescent="0.3">
      <c r="A50" s="1">
        <v>-119</v>
      </c>
      <c r="B50" s="1">
        <f t="shared" si="0"/>
        <v>85.105632877664803</v>
      </c>
      <c r="C50" s="1">
        <f t="shared" si="1"/>
        <v>-85.105632877664803</v>
      </c>
    </row>
    <row r="51" spans="1:3" x14ac:dyDescent="0.3">
      <c r="A51" s="1">
        <v>-118</v>
      </c>
      <c r="B51" s="1">
        <f t="shared" si="0"/>
        <v>86.023975864107015</v>
      </c>
      <c r="C51" s="1">
        <f t="shared" si="1"/>
        <v>-86.023975864107015</v>
      </c>
    </row>
    <row r="52" spans="1:3" x14ac:dyDescent="0.3">
      <c r="A52" s="1">
        <v>-117</v>
      </c>
      <c r="B52" s="1">
        <f t="shared" si="0"/>
        <v>86.931786249323849</v>
      </c>
      <c r="C52" s="1">
        <f t="shared" si="1"/>
        <v>-86.931786249323849</v>
      </c>
    </row>
    <row r="53" spans="1:3" x14ac:dyDescent="0.3">
      <c r="A53" s="1">
        <v>-116</v>
      </c>
      <c r="B53" s="1">
        <f t="shared" si="0"/>
        <v>87.829246501133113</v>
      </c>
      <c r="C53" s="1">
        <f t="shared" si="1"/>
        <v>-87.829246501133113</v>
      </c>
    </row>
    <row r="54" spans="1:3" x14ac:dyDescent="0.3">
      <c r="A54" s="1">
        <v>-115</v>
      </c>
      <c r="B54" s="1">
        <f t="shared" si="0"/>
        <v>88.716528192944338</v>
      </c>
      <c r="C54" s="1">
        <f t="shared" si="1"/>
        <v>-88.716528192944338</v>
      </c>
    </row>
    <row r="55" spans="1:3" x14ac:dyDescent="0.3">
      <c r="A55" s="1">
        <v>-114</v>
      </c>
      <c r="B55" s="1">
        <f t="shared" si="0"/>
        <v>89.593792768831122</v>
      </c>
      <c r="C55" s="1">
        <f t="shared" si="1"/>
        <v>-89.593792768831122</v>
      </c>
    </row>
    <row r="56" spans="1:3" x14ac:dyDescent="0.3">
      <c r="A56" s="1">
        <v>-113</v>
      </c>
      <c r="B56" s="1">
        <f t="shared" si="0"/>
        <v>90.461192243111412</v>
      </c>
      <c r="C56" s="1">
        <f t="shared" si="1"/>
        <v>-90.461192243111412</v>
      </c>
    </row>
    <row r="57" spans="1:3" x14ac:dyDescent="0.3">
      <c r="A57" s="1">
        <v>-112</v>
      </c>
      <c r="B57" s="1">
        <f t="shared" si="0"/>
        <v>91.318869841119891</v>
      </c>
      <c r="C57" s="1">
        <f t="shared" si="1"/>
        <v>-91.318869841119891</v>
      </c>
    </row>
    <row r="58" spans="1:3" x14ac:dyDescent="0.3">
      <c r="A58" s="1">
        <v>-111</v>
      </c>
      <c r="B58" s="1">
        <f t="shared" si="0"/>
        <v>92.166960587067805</v>
      </c>
      <c r="C58" s="1">
        <f t="shared" si="1"/>
        <v>-92.166960587067805</v>
      </c>
    </row>
    <row r="59" spans="1:3" x14ac:dyDescent="0.3">
      <c r="A59" s="1">
        <v>-110</v>
      </c>
      <c r="B59" s="1">
        <f t="shared" si="0"/>
        <v>93.005591844201106</v>
      </c>
      <c r="C59" s="1">
        <f t="shared" si="1"/>
        <v>-93.005591844201106</v>
      </c>
    </row>
    <row r="60" spans="1:3" x14ac:dyDescent="0.3">
      <c r="A60" s="1">
        <v>-109</v>
      </c>
      <c r="B60" s="1">
        <f t="shared" si="0"/>
        <v>93.834883811874548</v>
      </c>
      <c r="C60" s="1">
        <f t="shared" si="1"/>
        <v>-93.834883811874548</v>
      </c>
    </row>
    <row r="61" spans="1:3" x14ac:dyDescent="0.3">
      <c r="A61" s="1">
        <v>-108</v>
      </c>
      <c r="B61" s="1">
        <f t="shared" si="0"/>
        <v>94.654949983641686</v>
      </c>
      <c r="C61" s="1">
        <f t="shared" si="1"/>
        <v>-94.654949983641686</v>
      </c>
    </row>
    <row r="62" spans="1:3" x14ac:dyDescent="0.3">
      <c r="A62" s="1">
        <v>-107</v>
      </c>
      <c r="B62" s="1">
        <f t="shared" si="0"/>
        <v>95.465897570008636</v>
      </c>
      <c r="C62" s="1">
        <f t="shared" si="1"/>
        <v>-95.465897570008636</v>
      </c>
    </row>
    <row r="63" spans="1:3" x14ac:dyDescent="0.3">
      <c r="A63" s="1">
        <v>-106</v>
      </c>
      <c r="B63" s="1">
        <f t="shared" si="0"/>
        <v>96.267827889104723</v>
      </c>
      <c r="C63" s="1">
        <f t="shared" si="1"/>
        <v>-96.267827889104723</v>
      </c>
    </row>
    <row r="64" spans="1:3" x14ac:dyDescent="0.3">
      <c r="A64" s="1">
        <v>-105</v>
      </c>
      <c r="B64" s="1">
        <f t="shared" si="0"/>
        <v>97.060836728176</v>
      </c>
      <c r="C64" s="1">
        <f t="shared" si="1"/>
        <v>-97.060836728176</v>
      </c>
    </row>
    <row r="65" spans="1:3" x14ac:dyDescent="0.3">
      <c r="A65" s="1">
        <v>-104</v>
      </c>
      <c r="B65" s="1">
        <f t="shared" si="0"/>
        <v>97.84501467850238</v>
      </c>
      <c r="C65" s="1">
        <f t="shared" si="1"/>
        <v>-97.84501467850238</v>
      </c>
    </row>
    <row r="66" spans="1:3" x14ac:dyDescent="0.3">
      <c r="A66" s="1">
        <v>-103</v>
      </c>
      <c r="B66" s="1">
        <f t="shared" si="0"/>
        <v>98.620447446071054</v>
      </c>
      <c r="C66" s="1">
        <f t="shared" si="1"/>
        <v>-98.620447446071054</v>
      </c>
    </row>
    <row r="67" spans="1:3" x14ac:dyDescent="0.3">
      <c r="A67" s="1">
        <v>-102</v>
      </c>
      <c r="B67" s="1">
        <f t="shared" ref="B67:B130" si="2">SQRT(137.5^2-157.5^2*SIN(A67/157.5)^2)</f>
        <v>99.387216140100918</v>
      </c>
      <c r="C67" s="1">
        <f t="shared" ref="C67:C130" si="3">-SQRT(137.5^2-157.5^2*SIN(A67/157.5)^2)</f>
        <v>-99.387216140100918</v>
      </c>
    </row>
    <row r="68" spans="1:3" x14ac:dyDescent="0.3">
      <c r="A68" s="1">
        <v>-101</v>
      </c>
      <c r="B68" s="1">
        <f t="shared" si="2"/>
        <v>100.14539754130368</v>
      </c>
      <c r="C68" s="1">
        <f t="shared" si="3"/>
        <v>-100.14539754130368</v>
      </c>
    </row>
    <row r="69" spans="1:3" x14ac:dyDescent="0.3">
      <c r="A69" s="1">
        <v>-100</v>
      </c>
      <c r="B69" s="1">
        <f t="shared" si="2"/>
        <v>100.89506435158013</v>
      </c>
      <c r="C69" s="1">
        <f t="shared" si="3"/>
        <v>-100.89506435158013</v>
      </c>
    </row>
    <row r="70" spans="1:3" x14ac:dyDescent="0.3">
      <c r="A70" s="1">
        <v>-99</v>
      </c>
      <c r="B70" s="1">
        <f t="shared" si="2"/>
        <v>101.63628542668603</v>
      </c>
      <c r="C70" s="1">
        <f t="shared" si="3"/>
        <v>-101.63628542668603</v>
      </c>
    </row>
    <row r="71" spans="1:3" x14ac:dyDescent="0.3">
      <c r="A71" s="1">
        <v>-98</v>
      </c>
      <c r="B71" s="1">
        <f t="shared" si="2"/>
        <v>102.36912599325444</v>
      </c>
      <c r="C71" s="1">
        <f t="shared" si="3"/>
        <v>-102.36912599325444</v>
      </c>
    </row>
    <row r="72" spans="1:3" x14ac:dyDescent="0.3">
      <c r="A72" s="1">
        <v>-97</v>
      </c>
      <c r="B72" s="1">
        <f t="shared" si="2"/>
        <v>103.09364785142994</v>
      </c>
      <c r="C72" s="1">
        <f t="shared" si="3"/>
        <v>-103.09364785142994</v>
      </c>
    </row>
    <row r="73" spans="1:3" x14ac:dyDescent="0.3">
      <c r="A73" s="1">
        <v>-96</v>
      </c>
      <c r="B73" s="1">
        <f t="shared" si="2"/>
        <v>103.80990956425403</v>
      </c>
      <c r="C73" s="1">
        <f t="shared" si="3"/>
        <v>-103.80990956425403</v>
      </c>
    </row>
    <row r="74" spans="1:3" x14ac:dyDescent="0.3">
      <c r="A74" s="1">
        <v>-95</v>
      </c>
      <c r="B74" s="1">
        <f t="shared" si="2"/>
        <v>104.51796663483584</v>
      </c>
      <c r="C74" s="1">
        <f t="shared" si="3"/>
        <v>-104.51796663483584</v>
      </c>
    </row>
    <row r="75" spans="1:3" x14ac:dyDescent="0.3">
      <c r="A75" s="1">
        <v>-94</v>
      </c>
      <c r="B75" s="1">
        <f t="shared" si="2"/>
        <v>105.21787167224841</v>
      </c>
      <c r="C75" s="1">
        <f t="shared" si="3"/>
        <v>-105.21787167224841</v>
      </c>
    </row>
    <row r="76" spans="1:3" x14ac:dyDescent="0.3">
      <c r="A76" s="1">
        <v>-93</v>
      </c>
      <c r="B76" s="1">
        <f t="shared" si="2"/>
        <v>105.90967454700736</v>
      </c>
      <c r="C76" s="1">
        <f t="shared" si="3"/>
        <v>-105.90967454700736</v>
      </c>
    </row>
    <row r="77" spans="1:3" x14ac:dyDescent="0.3">
      <c r="A77" s="1">
        <v>-92</v>
      </c>
      <c r="B77" s="1">
        <f t="shared" si="2"/>
        <v>106.59342253691233</v>
      </c>
      <c r="C77" s="1">
        <f t="shared" si="3"/>
        <v>-106.59342253691233</v>
      </c>
    </row>
    <row r="78" spans="1:3" x14ac:dyDescent="0.3">
      <c r="A78" s="1">
        <v>-91</v>
      </c>
      <c r="B78" s="1">
        <f t="shared" si="2"/>
        <v>107.26916046396457</v>
      </c>
      <c r="C78" s="1">
        <f t="shared" si="3"/>
        <v>-107.26916046396457</v>
      </c>
    </row>
    <row r="79" spans="1:3" x14ac:dyDescent="0.3">
      <c r="A79" s="1">
        <v>-90</v>
      </c>
      <c r="B79" s="1">
        <f t="shared" si="2"/>
        <v>107.93693082301172</v>
      </c>
      <c r="C79" s="1">
        <f t="shared" si="3"/>
        <v>-107.93693082301172</v>
      </c>
    </row>
    <row r="80" spans="1:3" x14ac:dyDescent="0.3">
      <c r="A80" s="1">
        <v>-89</v>
      </c>
      <c r="B80" s="1">
        <f t="shared" si="2"/>
        <v>108.59677390271672</v>
      </c>
      <c r="C80" s="1">
        <f t="shared" si="3"/>
        <v>-108.59677390271672</v>
      </c>
    </row>
    <row r="81" spans="1:3" x14ac:dyDescent="0.3">
      <c r="A81" s="1">
        <v>-88</v>
      </c>
      <c r="B81" s="1">
        <f t="shared" si="2"/>
        <v>109.24872789939634</v>
      </c>
      <c r="C81" s="1">
        <f t="shared" si="3"/>
        <v>-109.24872789939634</v>
      </c>
    </row>
    <row r="82" spans="1:3" x14ac:dyDescent="0.3">
      <c r="A82" s="1">
        <v>-87</v>
      </c>
      <c r="B82" s="1">
        <f t="shared" si="2"/>
        <v>109.89282902423129</v>
      </c>
      <c r="C82" s="1">
        <f t="shared" si="3"/>
        <v>-109.89282902423129</v>
      </c>
    </row>
    <row r="83" spans="1:3" x14ac:dyDescent="0.3">
      <c r="A83" s="1">
        <v>-86</v>
      </c>
      <c r="B83" s="1">
        <f t="shared" si="2"/>
        <v>110.52911160430752</v>
      </c>
      <c r="C83" s="1">
        <f t="shared" si="3"/>
        <v>-110.52911160430752</v>
      </c>
    </row>
    <row r="84" spans="1:3" x14ac:dyDescent="0.3">
      <c r="A84" s="1">
        <v>-85</v>
      </c>
      <c r="B84" s="1">
        <f t="shared" si="2"/>
        <v>111.15760817791161</v>
      </c>
      <c r="C84" s="1">
        <f t="shared" si="3"/>
        <v>-111.15760817791161</v>
      </c>
    </row>
    <row r="85" spans="1:3" x14ac:dyDescent="0.3">
      <c r="A85" s="1">
        <v>-84</v>
      </c>
      <c r="B85" s="1">
        <f t="shared" si="2"/>
        <v>111.77834958447004</v>
      </c>
      <c r="C85" s="1">
        <f t="shared" si="3"/>
        <v>-111.77834958447004</v>
      </c>
    </row>
    <row r="86" spans="1:3" x14ac:dyDescent="0.3">
      <c r="A86" s="1">
        <v>-83</v>
      </c>
      <c r="B86" s="1">
        <f t="shared" si="2"/>
        <v>112.39136504949008</v>
      </c>
      <c r="C86" s="1">
        <f t="shared" si="3"/>
        <v>-112.39136504949008</v>
      </c>
    </row>
    <row r="87" spans="1:3" x14ac:dyDescent="0.3">
      <c r="A87" s="1">
        <v>-82</v>
      </c>
      <c r="B87" s="1">
        <f t="shared" si="2"/>
        <v>112.99668226483341</v>
      </c>
      <c r="C87" s="1">
        <f t="shared" si="3"/>
        <v>-112.99668226483341</v>
      </c>
    </row>
    <row r="88" spans="1:3" x14ac:dyDescent="0.3">
      <c r="A88" s="1">
        <v>-81</v>
      </c>
      <c r="B88" s="1">
        <f t="shared" si="2"/>
        <v>113.59432746462743</v>
      </c>
      <c r="C88" s="1">
        <f t="shared" si="3"/>
        <v>-113.59432746462743</v>
      </c>
    </row>
    <row r="89" spans="1:3" x14ac:dyDescent="0.3">
      <c r="A89" s="1">
        <v>-80</v>
      </c>
      <c r="B89" s="1">
        <f t="shared" si="2"/>
        <v>114.18432549709576</v>
      </c>
      <c r="C89" s="1">
        <f t="shared" si="3"/>
        <v>-114.18432549709576</v>
      </c>
    </row>
    <row r="90" spans="1:3" x14ac:dyDescent="0.3">
      <c r="A90" s="1">
        <v>-79</v>
      </c>
      <c r="B90" s="1">
        <f t="shared" si="2"/>
        <v>114.76669989256909</v>
      </c>
      <c r="C90" s="1">
        <f t="shared" si="3"/>
        <v>-114.76669989256909</v>
      </c>
    </row>
    <row r="91" spans="1:3" x14ac:dyDescent="0.3">
      <c r="A91" s="1">
        <v>-78</v>
      </c>
      <c r="B91" s="1">
        <f t="shared" si="2"/>
        <v>115.34147292791698</v>
      </c>
      <c r="C91" s="1">
        <f t="shared" si="3"/>
        <v>-115.34147292791698</v>
      </c>
    </row>
    <row r="92" spans="1:3" x14ac:dyDescent="0.3">
      <c r="A92" s="1">
        <v>-77</v>
      </c>
      <c r="B92" s="1">
        <f t="shared" si="2"/>
        <v>115.90866568762436</v>
      </c>
      <c r="C92" s="1">
        <f t="shared" si="3"/>
        <v>-115.90866568762436</v>
      </c>
    </row>
    <row r="93" spans="1:3" x14ac:dyDescent="0.3">
      <c r="A93" s="1">
        <v>-76</v>
      </c>
      <c r="B93" s="1">
        <f t="shared" si="2"/>
        <v>116.46829812171967</v>
      </c>
      <c r="C93" s="1">
        <f t="shared" si="3"/>
        <v>-116.46829812171967</v>
      </c>
    </row>
    <row r="94" spans="1:3" x14ac:dyDescent="0.3">
      <c r="A94" s="1">
        <v>-75</v>
      </c>
      <c r="B94" s="1">
        <f t="shared" si="2"/>
        <v>117.02038910074691</v>
      </c>
      <c r="C94" s="1">
        <f t="shared" si="3"/>
        <v>-117.02038910074691</v>
      </c>
    </row>
    <row r="95" spans="1:3" x14ac:dyDescent="0.3">
      <c r="A95" s="1">
        <v>-74</v>
      </c>
      <c r="B95" s="1">
        <f t="shared" si="2"/>
        <v>117.56495646795972</v>
      </c>
      <c r="C95" s="1">
        <f t="shared" si="3"/>
        <v>-117.56495646795972</v>
      </c>
    </row>
    <row r="96" spans="1:3" x14ac:dyDescent="0.3">
      <c r="A96" s="1">
        <v>-73</v>
      </c>
      <c r="B96" s="1">
        <f t="shared" si="2"/>
        <v>118.10201708890382</v>
      </c>
      <c r="C96" s="1">
        <f t="shared" si="3"/>
        <v>-118.10201708890382</v>
      </c>
    </row>
    <row r="97" spans="1:3" x14ac:dyDescent="0.3">
      <c r="A97" s="1">
        <v>-72</v>
      </c>
      <c r="B97" s="1">
        <f t="shared" si="2"/>
        <v>118.63158689854156</v>
      </c>
      <c r="C97" s="1">
        <f t="shared" si="3"/>
        <v>-118.63158689854156</v>
      </c>
    </row>
    <row r="98" spans="1:3" x14ac:dyDescent="0.3">
      <c r="A98" s="1">
        <v>-71</v>
      </c>
      <c r="B98" s="1">
        <f t="shared" si="2"/>
        <v>119.15368094606224</v>
      </c>
      <c r="C98" s="1">
        <f t="shared" si="3"/>
        <v>-119.15368094606224</v>
      </c>
    </row>
    <row r="99" spans="1:3" x14ac:dyDescent="0.3">
      <c r="A99" s="1">
        <v>-70</v>
      </c>
      <c r="B99" s="1">
        <f t="shared" si="2"/>
        <v>119.66831343751217</v>
      </c>
      <c r="C99" s="1">
        <f t="shared" si="3"/>
        <v>-119.66831343751217</v>
      </c>
    </row>
    <row r="100" spans="1:3" x14ac:dyDescent="0.3">
      <c r="A100" s="1">
        <v>-69</v>
      </c>
      <c r="B100" s="1">
        <f t="shared" si="2"/>
        <v>120.17549777636864</v>
      </c>
      <c r="C100" s="1">
        <f t="shared" si="3"/>
        <v>-120.17549777636864</v>
      </c>
    </row>
    <row r="101" spans="1:3" x14ac:dyDescent="0.3">
      <c r="A101" s="1">
        <v>-68</v>
      </c>
      <c r="B101" s="1">
        <f t="shared" si="2"/>
        <v>120.67524660217448</v>
      </c>
      <c r="C101" s="1">
        <f t="shared" si="3"/>
        <v>-120.67524660217448</v>
      </c>
    </row>
    <row r="102" spans="1:3" x14ac:dyDescent="0.3">
      <c r="A102" s="1">
        <v>-67</v>
      </c>
      <c r="B102" s="1">
        <f t="shared" si="2"/>
        <v>121.16757182734131</v>
      </c>
      <c r="C102" s="1">
        <f t="shared" si="3"/>
        <v>-121.16757182734131</v>
      </c>
    </row>
    <row r="103" spans="1:3" x14ac:dyDescent="0.3">
      <c r="A103" s="1">
        <v>-66</v>
      </c>
      <c r="B103" s="1">
        <f t="shared" si="2"/>
        <v>121.65248467222315</v>
      </c>
      <c r="C103" s="1">
        <f t="shared" si="3"/>
        <v>-121.65248467222315</v>
      </c>
    </row>
    <row r="104" spans="1:3" x14ac:dyDescent="0.3">
      <c r="A104" s="1">
        <v>-65</v>
      </c>
      <c r="B104" s="1">
        <f t="shared" si="2"/>
        <v>122.12999569855495</v>
      </c>
      <c r="C104" s="1">
        <f t="shared" si="3"/>
        <v>-122.12999569855495</v>
      </c>
    </row>
    <row r="105" spans="1:3" x14ac:dyDescent="0.3">
      <c r="A105" s="1">
        <v>-64</v>
      </c>
      <c r="B105" s="1">
        <f t="shared" si="2"/>
        <v>122.60011484134459</v>
      </c>
      <c r="C105" s="1">
        <f t="shared" si="3"/>
        <v>-122.60011484134459</v>
      </c>
    </row>
    <row r="106" spans="1:3" x14ac:dyDescent="0.3">
      <c r="A106" s="1">
        <v>-63</v>
      </c>
      <c r="B106" s="1">
        <f t="shared" si="2"/>
        <v>123.06285143930137</v>
      </c>
      <c r="C106" s="1">
        <f t="shared" si="3"/>
        <v>-123.06285143930137</v>
      </c>
    </row>
    <row r="107" spans="1:3" x14ac:dyDescent="0.3">
      <c r="A107" s="1">
        <v>-62</v>
      </c>
      <c r="B107" s="1">
        <f t="shared" si="2"/>
        <v>123.51821426387851</v>
      </c>
      <c r="C107" s="1">
        <f t="shared" si="3"/>
        <v>-123.51821426387851</v>
      </c>
    </row>
    <row r="108" spans="1:3" x14ac:dyDescent="0.3">
      <c r="A108" s="1">
        <v>-61</v>
      </c>
      <c r="B108" s="1">
        <f t="shared" si="2"/>
        <v>123.9662115470024</v>
      </c>
      <c r="C108" s="1">
        <f t="shared" si="3"/>
        <v>-123.9662115470024</v>
      </c>
    </row>
    <row r="109" spans="1:3" x14ac:dyDescent="0.3">
      <c r="A109" s="1">
        <v>-60</v>
      </c>
      <c r="B109" s="1">
        <f t="shared" si="2"/>
        <v>124.40685100755695</v>
      </c>
      <c r="C109" s="1">
        <f t="shared" si="3"/>
        <v>-124.40685100755695</v>
      </c>
    </row>
    <row r="110" spans="1:3" x14ac:dyDescent="0.3">
      <c r="A110" s="1">
        <v>-59</v>
      </c>
      <c r="B110" s="1">
        <f t="shared" si="2"/>
        <v>124.84013987668665</v>
      </c>
      <c r="C110" s="1">
        <f t="shared" si="3"/>
        <v>-124.84013987668665</v>
      </c>
    </row>
    <row r="111" spans="1:3" x14ac:dyDescent="0.3">
      <c r="A111" s="1">
        <v>-58</v>
      </c>
      <c r="B111" s="1">
        <f t="shared" si="2"/>
        <v>125.26608492197875</v>
      </c>
      <c r="C111" s="1">
        <f t="shared" si="3"/>
        <v>-125.26608492197875</v>
      </c>
    </row>
    <row r="112" spans="1:3" x14ac:dyDescent="0.3">
      <c r="A112" s="1">
        <v>-57</v>
      </c>
      <c r="B112" s="1">
        <f t="shared" si="2"/>
        <v>125.68469247058056</v>
      </c>
      <c r="C112" s="1">
        <f t="shared" si="3"/>
        <v>-125.68469247058056</v>
      </c>
    </row>
    <row r="113" spans="1:3" x14ac:dyDescent="0.3">
      <c r="A113" s="1">
        <v>-56</v>
      </c>
      <c r="B113" s="1">
        <f t="shared" si="2"/>
        <v>126.09596843130527</v>
      </c>
      <c r="C113" s="1">
        <f t="shared" si="3"/>
        <v>-126.09596843130527</v>
      </c>
    </row>
    <row r="114" spans="1:3" x14ac:dyDescent="0.3">
      <c r="A114" s="1">
        <v>-55</v>
      </c>
      <c r="B114" s="1">
        <f t="shared" si="2"/>
        <v>126.49991831577549</v>
      </c>
      <c r="C114" s="1">
        <f t="shared" si="3"/>
        <v>-126.49991831577549</v>
      </c>
    </row>
    <row r="115" spans="1:3" x14ac:dyDescent="0.3">
      <c r="A115" s="1">
        <v>-54</v>
      </c>
      <c r="B115" s="1">
        <f t="shared" si="2"/>
        <v>126.89654725865185</v>
      </c>
      <c r="C115" s="1">
        <f t="shared" si="3"/>
        <v>-126.89654725865185</v>
      </c>
    </row>
    <row r="116" spans="1:3" x14ac:dyDescent="0.3">
      <c r="A116" s="1">
        <v>-53</v>
      </c>
      <c r="B116" s="1">
        <f t="shared" si="2"/>
        <v>127.28586003699034</v>
      </c>
      <c r="C116" s="1">
        <f t="shared" si="3"/>
        <v>-127.28586003699034</v>
      </c>
    </row>
    <row r="117" spans="1:3" x14ac:dyDescent="0.3">
      <c r="A117" s="1">
        <v>-52</v>
      </c>
      <c r="B117" s="1">
        <f t="shared" si="2"/>
        <v>127.66786108877018</v>
      </c>
      <c r="C117" s="1">
        <f t="shared" si="3"/>
        <v>-127.66786108877018</v>
      </c>
    </row>
    <row r="118" spans="1:3" x14ac:dyDescent="0.3">
      <c r="A118" s="1">
        <v>-51</v>
      </c>
      <c r="B118" s="1">
        <f t="shared" si="2"/>
        <v>128.04255453063075</v>
      </c>
      <c r="C118" s="1">
        <f t="shared" si="3"/>
        <v>-128.04255453063075</v>
      </c>
    </row>
    <row r="119" spans="1:3" x14ac:dyDescent="0.3">
      <c r="A119" s="1">
        <v>-50</v>
      </c>
      <c r="B119" s="1">
        <f t="shared" si="2"/>
        <v>128.40994417485504</v>
      </c>
      <c r="C119" s="1">
        <f t="shared" si="3"/>
        <v>-128.40994417485504</v>
      </c>
    </row>
    <row r="120" spans="1:3" x14ac:dyDescent="0.3">
      <c r="A120" s="1">
        <v>-49</v>
      </c>
      <c r="B120" s="1">
        <f t="shared" si="2"/>
        <v>128.77003354563357</v>
      </c>
      <c r="C120" s="1">
        <f t="shared" si="3"/>
        <v>-128.77003354563357</v>
      </c>
    </row>
    <row r="121" spans="1:3" x14ac:dyDescent="0.3">
      <c r="A121" s="1">
        <v>-48</v>
      </c>
      <c r="B121" s="1">
        <f t="shared" si="2"/>
        <v>129.12282589464209</v>
      </c>
      <c r="C121" s="1">
        <f t="shared" si="3"/>
        <v>-129.12282589464209</v>
      </c>
    </row>
    <row r="122" spans="1:3" x14ac:dyDescent="0.3">
      <c r="A122" s="1">
        <v>-47</v>
      </c>
      <c r="B122" s="1">
        <f t="shared" si="2"/>
        <v>129.46832421596358</v>
      </c>
      <c r="C122" s="1">
        <f t="shared" si="3"/>
        <v>-129.46832421596358</v>
      </c>
    </row>
    <row r="123" spans="1:3" x14ac:dyDescent="0.3">
      <c r="A123" s="1">
        <v>-46</v>
      </c>
      <c r="B123" s="1">
        <f t="shared" si="2"/>
        <v>129.80653126038342</v>
      </c>
      <c r="C123" s="1">
        <f t="shared" si="3"/>
        <v>-129.80653126038342</v>
      </c>
    </row>
    <row r="124" spans="1:3" x14ac:dyDescent="0.3">
      <c r="A124" s="1">
        <v>-45</v>
      </c>
      <c r="B124" s="1">
        <f t="shared" si="2"/>
        <v>130.1374495490858</v>
      </c>
      <c r="C124" s="1">
        <f t="shared" si="3"/>
        <v>-130.1374495490858</v>
      </c>
    </row>
    <row r="125" spans="1:3" x14ac:dyDescent="0.3">
      <c r="A125" s="1">
        <v>-44</v>
      </c>
      <c r="B125" s="1">
        <f t="shared" si="2"/>
        <v>130.46108138677661</v>
      </c>
      <c r="C125" s="1">
        <f t="shared" si="3"/>
        <v>-130.46108138677661</v>
      </c>
    </row>
    <row r="126" spans="1:3" x14ac:dyDescent="0.3">
      <c r="A126" s="1">
        <v>-43</v>
      </c>
      <c r="B126" s="1">
        <f t="shared" si="2"/>
        <v>130.77742887425796</v>
      </c>
      <c r="C126" s="1">
        <f t="shared" si="3"/>
        <v>-130.77742887425796</v>
      </c>
    </row>
    <row r="127" spans="1:3" x14ac:dyDescent="0.3">
      <c r="A127" s="1">
        <v>-42</v>
      </c>
      <c r="B127" s="1">
        <f t="shared" si="2"/>
        <v>131.08649392047673</v>
      </c>
      <c r="C127" s="1">
        <f t="shared" si="3"/>
        <v>-131.08649392047673</v>
      </c>
    </row>
    <row r="128" spans="1:3" x14ac:dyDescent="0.3">
      <c r="A128" s="1">
        <v>-41</v>
      </c>
      <c r="B128" s="1">
        <f t="shared" si="2"/>
        <v>131.38827825406975</v>
      </c>
      <c r="C128" s="1">
        <f t="shared" si="3"/>
        <v>-131.38827825406975</v>
      </c>
    </row>
    <row r="129" spans="1:3" x14ac:dyDescent="0.3">
      <c r="A129" s="1">
        <v>-40</v>
      </c>
      <c r="B129" s="1">
        <f t="shared" si="2"/>
        <v>131.68278343442572</v>
      </c>
      <c r="C129" s="1">
        <f t="shared" si="3"/>
        <v>-131.68278343442572</v>
      </c>
    </row>
    <row r="130" spans="1:3" x14ac:dyDescent="0.3">
      <c r="A130" s="1">
        <v>-39</v>
      </c>
      <c r="B130" s="1">
        <f t="shared" si="2"/>
        <v>131.97001086228366</v>
      </c>
      <c r="C130" s="1">
        <f t="shared" si="3"/>
        <v>-131.97001086228366</v>
      </c>
    </row>
    <row r="131" spans="1:3" x14ac:dyDescent="0.3">
      <c r="A131" s="1">
        <v>-38</v>
      </c>
      <c r="B131" s="1">
        <f t="shared" ref="B131:B194" si="4">SQRT(137.5^2-157.5^2*SIN(A131/157.5)^2)</f>
        <v>132.24996178988624</v>
      </c>
      <c r="C131" s="1">
        <f t="shared" ref="C131:C194" si="5">-SQRT(137.5^2-157.5^2*SIN(A131/157.5)^2)</f>
        <v>-132.24996178988624</v>
      </c>
    </row>
    <row r="132" spans="1:3" x14ac:dyDescent="0.3">
      <c r="A132" s="1">
        <v>-37</v>
      </c>
      <c r="B132" s="1">
        <f t="shared" si="4"/>
        <v>132.52263733070566</v>
      </c>
      <c r="C132" s="1">
        <f t="shared" si="5"/>
        <v>-132.52263733070566</v>
      </c>
    </row>
    <row r="133" spans="1:3" x14ac:dyDescent="0.3">
      <c r="A133" s="1">
        <v>-36</v>
      </c>
      <c r="B133" s="1">
        <f t="shared" si="4"/>
        <v>132.78803846875823</v>
      </c>
      <c r="C133" s="1">
        <f t="shared" si="5"/>
        <v>-132.78803846875823</v>
      </c>
    </row>
    <row r="134" spans="1:3" x14ac:dyDescent="0.3">
      <c r="A134" s="1">
        <v>-35</v>
      </c>
      <c r="B134" s="1">
        <f t="shared" si="4"/>
        <v>133.04616606752367</v>
      </c>
      <c r="C134" s="1">
        <f t="shared" si="5"/>
        <v>-133.04616606752367</v>
      </c>
    </row>
    <row r="135" spans="1:3" x14ac:dyDescent="0.3">
      <c r="A135" s="1">
        <v>-34</v>
      </c>
      <c r="B135" s="1">
        <f t="shared" si="4"/>
        <v>133.29702087848383</v>
      </c>
      <c r="C135" s="1">
        <f t="shared" si="5"/>
        <v>-133.29702087848383</v>
      </c>
    </row>
    <row r="136" spans="1:3" x14ac:dyDescent="0.3">
      <c r="A136" s="1">
        <v>-33</v>
      </c>
      <c r="B136" s="1">
        <f t="shared" si="4"/>
        <v>133.54060354929439</v>
      </c>
      <c r="C136" s="1">
        <f t="shared" si="5"/>
        <v>-133.54060354929439</v>
      </c>
    </row>
    <row r="137" spans="1:3" x14ac:dyDescent="0.3">
      <c r="A137" s="1">
        <v>-32</v>
      </c>
      <c r="B137" s="1">
        <f t="shared" si="4"/>
        <v>133.7769146316034</v>
      </c>
      <c r="C137" s="1">
        <f t="shared" si="5"/>
        <v>-133.7769146316034</v>
      </c>
    </row>
    <row r="138" spans="1:3" x14ac:dyDescent="0.3">
      <c r="A138" s="1">
        <v>-31</v>
      </c>
      <c r="B138" s="1">
        <f t="shared" si="4"/>
        <v>134.00595458852882</v>
      </c>
      <c r="C138" s="1">
        <f t="shared" si="5"/>
        <v>-134.00595458852882</v>
      </c>
    </row>
    <row r="139" spans="1:3" x14ac:dyDescent="0.3">
      <c r="A139" s="1">
        <v>-30</v>
      </c>
      <c r="B139" s="1">
        <f t="shared" si="4"/>
        <v>134.22772380180683</v>
      </c>
      <c r="C139" s="1">
        <f t="shared" si="5"/>
        <v>-134.22772380180683</v>
      </c>
    </row>
    <row r="140" spans="1:3" x14ac:dyDescent="0.3">
      <c r="A140" s="1">
        <v>-29</v>
      </c>
      <c r="B140" s="1">
        <f t="shared" si="4"/>
        <v>134.44222257862242</v>
      </c>
      <c r="C140" s="1">
        <f t="shared" si="5"/>
        <v>-134.44222257862242</v>
      </c>
    </row>
    <row r="141" spans="1:3" x14ac:dyDescent="0.3">
      <c r="A141" s="1">
        <v>-28</v>
      </c>
      <c r="B141" s="1">
        <f t="shared" si="4"/>
        <v>134.64945115813248</v>
      </c>
      <c r="C141" s="1">
        <f t="shared" si="5"/>
        <v>-134.64945115813248</v>
      </c>
    </row>
    <row r="142" spans="1:3" x14ac:dyDescent="0.3">
      <c r="A142" s="1">
        <v>-27</v>
      </c>
      <c r="B142" s="1">
        <f t="shared" si="4"/>
        <v>134.84940971769171</v>
      </c>
      <c r="C142" s="1">
        <f t="shared" si="5"/>
        <v>-134.84940971769171</v>
      </c>
    </row>
    <row r="143" spans="1:3" x14ac:dyDescent="0.3">
      <c r="A143" s="1">
        <v>-26</v>
      </c>
      <c r="B143" s="1">
        <f t="shared" si="4"/>
        <v>135.04209837879051</v>
      </c>
      <c r="C143" s="1">
        <f t="shared" si="5"/>
        <v>-135.04209837879051</v>
      </c>
    </row>
    <row r="144" spans="1:3" x14ac:dyDescent="0.3">
      <c r="A144" s="1">
        <v>-25</v>
      </c>
      <c r="B144" s="1">
        <f t="shared" si="4"/>
        <v>135.22751721271408</v>
      </c>
      <c r="C144" s="1">
        <f t="shared" si="5"/>
        <v>-135.22751721271408</v>
      </c>
    </row>
    <row r="145" spans="1:3" x14ac:dyDescent="0.3">
      <c r="A145" s="1">
        <v>-24</v>
      </c>
      <c r="B145" s="1">
        <f t="shared" si="4"/>
        <v>135.40566624593092</v>
      </c>
      <c r="C145" s="1">
        <f t="shared" si="5"/>
        <v>-135.40566624593092</v>
      </c>
    </row>
    <row r="146" spans="1:3" x14ac:dyDescent="0.3">
      <c r="A146" s="1">
        <v>-23</v>
      </c>
      <c r="B146" s="1">
        <f t="shared" si="4"/>
        <v>135.57654546521883</v>
      </c>
      <c r="C146" s="1">
        <f t="shared" si="5"/>
        <v>-135.57654546521883</v>
      </c>
    </row>
    <row r="147" spans="1:3" x14ac:dyDescent="0.3">
      <c r="A147" s="1">
        <v>-22</v>
      </c>
      <c r="B147" s="1">
        <f t="shared" si="4"/>
        <v>135.7401548225358</v>
      </c>
      <c r="C147" s="1">
        <f t="shared" si="5"/>
        <v>-135.7401548225358</v>
      </c>
    </row>
    <row r="148" spans="1:3" x14ac:dyDescent="0.3">
      <c r="A148" s="1">
        <v>-21</v>
      </c>
      <c r="B148" s="1">
        <f t="shared" si="4"/>
        <v>135.89649423964306</v>
      </c>
      <c r="C148" s="1">
        <f t="shared" si="5"/>
        <v>-135.89649423964306</v>
      </c>
    </row>
    <row r="149" spans="1:3" x14ac:dyDescent="0.3">
      <c r="A149" s="1">
        <v>-20</v>
      </c>
      <c r="B149" s="1">
        <f t="shared" si="4"/>
        <v>136.04556361248657</v>
      </c>
      <c r="C149" s="1">
        <f t="shared" si="5"/>
        <v>-136.04556361248657</v>
      </c>
    </row>
    <row r="150" spans="1:3" x14ac:dyDescent="0.3">
      <c r="A150" s="1">
        <v>-19</v>
      </c>
      <c r="B150" s="1">
        <f t="shared" si="4"/>
        <v>136.18736281534368</v>
      </c>
      <c r="C150" s="1">
        <f t="shared" si="5"/>
        <v>-136.18736281534368</v>
      </c>
    </row>
    <row r="151" spans="1:3" x14ac:dyDescent="0.3">
      <c r="A151" s="1">
        <v>-18</v>
      </c>
      <c r="B151" s="1">
        <f t="shared" si="4"/>
        <v>136.32189170474047</v>
      </c>
      <c r="C151" s="1">
        <f t="shared" si="5"/>
        <v>-136.32189170474047</v>
      </c>
    </row>
    <row r="152" spans="1:3" x14ac:dyDescent="0.3">
      <c r="A152" s="1">
        <v>-17</v>
      </c>
      <c r="B152" s="1">
        <f t="shared" si="4"/>
        <v>136.44915012314542</v>
      </c>
      <c r="C152" s="1">
        <f t="shared" si="5"/>
        <v>-136.44915012314542</v>
      </c>
    </row>
    <row r="153" spans="1:3" x14ac:dyDescent="0.3">
      <c r="A153" s="1">
        <v>-16</v>
      </c>
      <c r="B153" s="1">
        <f t="shared" si="4"/>
        <v>136.56913790244457</v>
      </c>
      <c r="C153" s="1">
        <f t="shared" si="5"/>
        <v>-136.56913790244457</v>
      </c>
    </row>
    <row r="154" spans="1:3" x14ac:dyDescent="0.3">
      <c r="A154" s="1">
        <v>-15</v>
      </c>
      <c r="B154" s="1">
        <f t="shared" si="4"/>
        <v>136.68185486720307</v>
      </c>
      <c r="C154" s="1">
        <f t="shared" si="5"/>
        <v>-136.68185486720307</v>
      </c>
    </row>
    <row r="155" spans="1:3" x14ac:dyDescent="0.3">
      <c r="A155" s="1">
        <v>-14</v>
      </c>
      <c r="B155" s="1">
        <f t="shared" si="4"/>
        <v>136.78730083771742</v>
      </c>
      <c r="C155" s="1">
        <f t="shared" si="5"/>
        <v>-136.78730083771742</v>
      </c>
    </row>
    <row r="156" spans="1:3" x14ac:dyDescent="0.3">
      <c r="A156" s="1">
        <v>-13</v>
      </c>
      <c r="B156" s="1">
        <f t="shared" si="4"/>
        <v>136.88547563286272</v>
      </c>
      <c r="C156" s="1">
        <f t="shared" si="5"/>
        <v>-136.88547563286272</v>
      </c>
    </row>
    <row r="157" spans="1:3" x14ac:dyDescent="0.3">
      <c r="A157" s="1">
        <v>-12</v>
      </c>
      <c r="B157" s="1">
        <f t="shared" si="4"/>
        <v>136.97637907273892</v>
      </c>
      <c r="C157" s="1">
        <f t="shared" si="5"/>
        <v>-136.97637907273892</v>
      </c>
    </row>
    <row r="158" spans="1:3" x14ac:dyDescent="0.3">
      <c r="A158" s="1">
        <v>-11</v>
      </c>
      <c r="B158" s="1">
        <f t="shared" si="4"/>
        <v>137.06001098111935</v>
      </c>
      <c r="C158" s="1">
        <f t="shared" si="5"/>
        <v>-137.06001098111935</v>
      </c>
    </row>
    <row r="159" spans="1:3" x14ac:dyDescent="0.3">
      <c r="A159" s="1">
        <v>-10</v>
      </c>
      <c r="B159" s="1">
        <f t="shared" si="4"/>
        <v>137.13637118770521</v>
      </c>
      <c r="C159" s="1">
        <f t="shared" si="5"/>
        <v>-137.13637118770521</v>
      </c>
    </row>
    <row r="160" spans="1:3" x14ac:dyDescent="0.3">
      <c r="A160" s="1">
        <v>-9</v>
      </c>
      <c r="B160" s="1">
        <f t="shared" si="4"/>
        <v>137.2054595301887</v>
      </c>
      <c r="C160" s="1">
        <f t="shared" si="5"/>
        <v>-137.2054595301887</v>
      </c>
    </row>
    <row r="161" spans="1:3" x14ac:dyDescent="0.3">
      <c r="A161" s="1">
        <v>-8</v>
      </c>
      <c r="B161" s="1">
        <f t="shared" si="4"/>
        <v>137.26727585612787</v>
      </c>
      <c r="C161" s="1">
        <f t="shared" si="5"/>
        <v>-137.26727585612787</v>
      </c>
    </row>
    <row r="162" spans="1:3" x14ac:dyDescent="0.3">
      <c r="A162" s="1">
        <v>-7</v>
      </c>
      <c r="B162" s="1">
        <f t="shared" si="4"/>
        <v>137.32182002463531</v>
      </c>
      <c r="C162" s="1">
        <f t="shared" si="5"/>
        <v>-137.32182002463531</v>
      </c>
    </row>
    <row r="163" spans="1:3" x14ac:dyDescent="0.3">
      <c r="A163" s="1">
        <v>-6</v>
      </c>
      <c r="B163" s="1">
        <f t="shared" si="4"/>
        <v>137.3690919078835</v>
      </c>
      <c r="C163" s="1">
        <f t="shared" si="5"/>
        <v>-137.3690919078835</v>
      </c>
    </row>
    <row r="164" spans="1:3" x14ac:dyDescent="0.3">
      <c r="A164" s="1">
        <v>-5</v>
      </c>
      <c r="B164" s="1">
        <f t="shared" si="4"/>
        <v>137.40909139242805</v>
      </c>
      <c r="C164" s="1">
        <f t="shared" si="5"/>
        <v>-137.40909139242805</v>
      </c>
    </row>
    <row r="165" spans="1:3" x14ac:dyDescent="0.3">
      <c r="A165" s="1">
        <v>-4</v>
      </c>
      <c r="B165" s="1">
        <f t="shared" si="4"/>
        <v>137.44181838035124</v>
      </c>
      <c r="C165" s="1">
        <f t="shared" si="5"/>
        <v>-137.44181838035124</v>
      </c>
    </row>
    <row r="166" spans="1:3" x14ac:dyDescent="0.3">
      <c r="A166" s="1">
        <v>-3</v>
      </c>
      <c r="B166" s="1">
        <f t="shared" si="4"/>
        <v>137.46727279022716</v>
      </c>
      <c r="C166" s="1">
        <f t="shared" si="5"/>
        <v>-137.46727279022716</v>
      </c>
    </row>
    <row r="167" spans="1:3" x14ac:dyDescent="0.3">
      <c r="A167" s="1">
        <v>-2</v>
      </c>
      <c r="B167" s="1">
        <f t="shared" si="4"/>
        <v>137.48545455790935</v>
      </c>
      <c r="C167" s="1">
        <f t="shared" si="5"/>
        <v>-137.48545455790935</v>
      </c>
    </row>
    <row r="168" spans="1:3" x14ac:dyDescent="0.3">
      <c r="A168" s="1">
        <v>-1</v>
      </c>
      <c r="B168" s="1">
        <f t="shared" si="4"/>
        <v>137.49636363714279</v>
      </c>
      <c r="C168" s="1">
        <f t="shared" si="5"/>
        <v>-137.49636363714279</v>
      </c>
    </row>
    <row r="169" spans="1:3" x14ac:dyDescent="0.3">
      <c r="A169" s="1">
        <v>0</v>
      </c>
      <c r="B169" s="1">
        <f t="shared" si="4"/>
        <v>137.5</v>
      </c>
      <c r="C169" s="1">
        <f t="shared" si="5"/>
        <v>-137.5</v>
      </c>
    </row>
    <row r="170" spans="1:3" x14ac:dyDescent="0.3">
      <c r="A170" s="1">
        <v>1</v>
      </c>
      <c r="B170" s="1">
        <f t="shared" si="4"/>
        <v>137.49636363714279</v>
      </c>
      <c r="C170" s="1">
        <f t="shared" si="5"/>
        <v>-137.49636363714279</v>
      </c>
    </row>
    <row r="171" spans="1:3" x14ac:dyDescent="0.3">
      <c r="A171" s="1">
        <v>2</v>
      </c>
      <c r="B171" s="1">
        <f t="shared" si="4"/>
        <v>137.48545455790935</v>
      </c>
      <c r="C171" s="1">
        <f t="shared" si="5"/>
        <v>-137.48545455790935</v>
      </c>
    </row>
    <row r="172" spans="1:3" x14ac:dyDescent="0.3">
      <c r="A172" s="1">
        <v>3</v>
      </c>
      <c r="B172" s="1">
        <f t="shared" si="4"/>
        <v>137.46727279022716</v>
      </c>
      <c r="C172" s="1">
        <f t="shared" si="5"/>
        <v>-137.46727279022716</v>
      </c>
    </row>
    <row r="173" spans="1:3" x14ac:dyDescent="0.3">
      <c r="A173" s="1">
        <v>4</v>
      </c>
      <c r="B173" s="1">
        <f t="shared" si="4"/>
        <v>137.44181838035124</v>
      </c>
      <c r="C173" s="1">
        <f t="shared" si="5"/>
        <v>-137.44181838035124</v>
      </c>
    </row>
    <row r="174" spans="1:3" x14ac:dyDescent="0.3">
      <c r="A174" s="1">
        <v>5</v>
      </c>
      <c r="B174" s="1">
        <f t="shared" si="4"/>
        <v>137.40909139242805</v>
      </c>
      <c r="C174" s="1">
        <f t="shared" si="5"/>
        <v>-137.40909139242805</v>
      </c>
    </row>
    <row r="175" spans="1:3" x14ac:dyDescent="0.3">
      <c r="A175" s="1">
        <v>6</v>
      </c>
      <c r="B175" s="1">
        <f t="shared" si="4"/>
        <v>137.3690919078835</v>
      </c>
      <c r="C175" s="1">
        <f t="shared" si="5"/>
        <v>-137.3690919078835</v>
      </c>
    </row>
    <row r="176" spans="1:3" x14ac:dyDescent="0.3">
      <c r="A176" s="1">
        <v>7</v>
      </c>
      <c r="B176" s="1">
        <f t="shared" si="4"/>
        <v>137.32182002463531</v>
      </c>
      <c r="C176" s="1">
        <f t="shared" si="5"/>
        <v>-137.32182002463531</v>
      </c>
    </row>
    <row r="177" spans="1:3" x14ac:dyDescent="0.3">
      <c r="A177" s="1">
        <v>8</v>
      </c>
      <c r="B177" s="1">
        <f t="shared" si="4"/>
        <v>137.26727585612787</v>
      </c>
      <c r="C177" s="1">
        <f t="shared" si="5"/>
        <v>-137.26727585612787</v>
      </c>
    </row>
    <row r="178" spans="1:3" x14ac:dyDescent="0.3">
      <c r="A178" s="1">
        <v>9</v>
      </c>
      <c r="B178" s="1">
        <f t="shared" si="4"/>
        <v>137.2054595301887</v>
      </c>
      <c r="C178" s="1">
        <f t="shared" si="5"/>
        <v>-137.2054595301887</v>
      </c>
    </row>
    <row r="179" spans="1:3" x14ac:dyDescent="0.3">
      <c r="A179" s="1">
        <v>10</v>
      </c>
      <c r="B179" s="1">
        <f t="shared" si="4"/>
        <v>137.13637118770521</v>
      </c>
      <c r="C179" s="1">
        <f t="shared" si="5"/>
        <v>-137.13637118770521</v>
      </c>
    </row>
    <row r="180" spans="1:3" x14ac:dyDescent="0.3">
      <c r="A180" s="1">
        <v>11</v>
      </c>
      <c r="B180" s="1">
        <f t="shared" si="4"/>
        <v>137.06001098111935</v>
      </c>
      <c r="C180" s="1">
        <f t="shared" si="5"/>
        <v>-137.06001098111935</v>
      </c>
    </row>
    <row r="181" spans="1:3" x14ac:dyDescent="0.3">
      <c r="A181" s="1">
        <v>12</v>
      </c>
      <c r="B181" s="1">
        <f t="shared" si="4"/>
        <v>136.97637907273892</v>
      </c>
      <c r="C181" s="1">
        <f t="shared" si="5"/>
        <v>-136.97637907273892</v>
      </c>
    </row>
    <row r="182" spans="1:3" x14ac:dyDescent="0.3">
      <c r="A182" s="1">
        <v>13</v>
      </c>
      <c r="B182" s="1">
        <f t="shared" si="4"/>
        <v>136.88547563286272</v>
      </c>
      <c r="C182" s="1">
        <f t="shared" si="5"/>
        <v>-136.88547563286272</v>
      </c>
    </row>
    <row r="183" spans="1:3" x14ac:dyDescent="0.3">
      <c r="A183" s="1">
        <v>14</v>
      </c>
      <c r="B183" s="1">
        <f t="shared" si="4"/>
        <v>136.78730083771742</v>
      </c>
      <c r="C183" s="1">
        <f t="shared" si="5"/>
        <v>-136.78730083771742</v>
      </c>
    </row>
    <row r="184" spans="1:3" x14ac:dyDescent="0.3">
      <c r="A184" s="1">
        <v>15</v>
      </c>
      <c r="B184" s="1">
        <f t="shared" si="4"/>
        <v>136.68185486720307</v>
      </c>
      <c r="C184" s="1">
        <f t="shared" si="5"/>
        <v>-136.68185486720307</v>
      </c>
    </row>
    <row r="185" spans="1:3" x14ac:dyDescent="0.3">
      <c r="A185" s="1">
        <v>16</v>
      </c>
      <c r="B185" s="1">
        <f t="shared" si="4"/>
        <v>136.56913790244457</v>
      </c>
      <c r="C185" s="1">
        <f t="shared" si="5"/>
        <v>-136.56913790244457</v>
      </c>
    </row>
    <row r="186" spans="1:3" x14ac:dyDescent="0.3">
      <c r="A186" s="1">
        <v>17</v>
      </c>
      <c r="B186" s="1">
        <f t="shared" si="4"/>
        <v>136.44915012314542</v>
      </c>
      <c r="C186" s="1">
        <f t="shared" si="5"/>
        <v>-136.44915012314542</v>
      </c>
    </row>
    <row r="187" spans="1:3" x14ac:dyDescent="0.3">
      <c r="A187" s="1">
        <v>18</v>
      </c>
      <c r="B187" s="1">
        <f t="shared" si="4"/>
        <v>136.32189170474047</v>
      </c>
      <c r="C187" s="1">
        <f t="shared" si="5"/>
        <v>-136.32189170474047</v>
      </c>
    </row>
    <row r="188" spans="1:3" x14ac:dyDescent="0.3">
      <c r="A188" s="1">
        <v>19</v>
      </c>
      <c r="B188" s="1">
        <f t="shared" si="4"/>
        <v>136.18736281534368</v>
      </c>
      <c r="C188" s="1">
        <f t="shared" si="5"/>
        <v>-136.18736281534368</v>
      </c>
    </row>
    <row r="189" spans="1:3" x14ac:dyDescent="0.3">
      <c r="A189" s="1">
        <v>20</v>
      </c>
      <c r="B189" s="1">
        <f t="shared" si="4"/>
        <v>136.04556361248657</v>
      </c>
      <c r="C189" s="1">
        <f t="shared" si="5"/>
        <v>-136.04556361248657</v>
      </c>
    </row>
    <row r="190" spans="1:3" x14ac:dyDescent="0.3">
      <c r="A190" s="1">
        <v>21</v>
      </c>
      <c r="B190" s="1">
        <f t="shared" si="4"/>
        <v>135.89649423964306</v>
      </c>
      <c r="C190" s="1">
        <f t="shared" si="5"/>
        <v>-135.89649423964306</v>
      </c>
    </row>
    <row r="191" spans="1:3" x14ac:dyDescent="0.3">
      <c r="A191" s="1">
        <v>22</v>
      </c>
      <c r="B191" s="1">
        <f t="shared" si="4"/>
        <v>135.7401548225358</v>
      </c>
      <c r="C191" s="1">
        <f t="shared" si="5"/>
        <v>-135.7401548225358</v>
      </c>
    </row>
    <row r="192" spans="1:3" x14ac:dyDescent="0.3">
      <c r="A192" s="1">
        <v>23</v>
      </c>
      <c r="B192" s="1">
        <f t="shared" si="4"/>
        <v>135.57654546521883</v>
      </c>
      <c r="C192" s="1">
        <f t="shared" si="5"/>
        <v>-135.57654546521883</v>
      </c>
    </row>
    <row r="193" spans="1:3" x14ac:dyDescent="0.3">
      <c r="A193" s="1">
        <v>24</v>
      </c>
      <c r="B193" s="1">
        <f t="shared" si="4"/>
        <v>135.40566624593092</v>
      </c>
      <c r="C193" s="1">
        <f t="shared" si="5"/>
        <v>-135.40566624593092</v>
      </c>
    </row>
    <row r="194" spans="1:3" x14ac:dyDescent="0.3">
      <c r="A194" s="1">
        <v>25</v>
      </c>
      <c r="B194" s="1">
        <f t="shared" si="4"/>
        <v>135.22751721271408</v>
      </c>
      <c r="C194" s="1">
        <f t="shared" si="5"/>
        <v>-135.22751721271408</v>
      </c>
    </row>
    <row r="195" spans="1:3" x14ac:dyDescent="0.3">
      <c r="A195" s="1">
        <v>26</v>
      </c>
      <c r="B195" s="1">
        <f t="shared" ref="B195:B258" si="6">SQRT(137.5^2-157.5^2*SIN(A195/157.5)^2)</f>
        <v>135.04209837879051</v>
      </c>
      <c r="C195" s="1">
        <f t="shared" ref="C195:C258" si="7">-SQRT(137.5^2-157.5^2*SIN(A195/157.5)^2)</f>
        <v>-135.04209837879051</v>
      </c>
    </row>
    <row r="196" spans="1:3" x14ac:dyDescent="0.3">
      <c r="A196" s="1">
        <v>27</v>
      </c>
      <c r="B196" s="1">
        <f t="shared" si="6"/>
        <v>134.84940971769171</v>
      </c>
      <c r="C196" s="1">
        <f t="shared" si="7"/>
        <v>-134.84940971769171</v>
      </c>
    </row>
    <row r="197" spans="1:3" x14ac:dyDescent="0.3">
      <c r="A197" s="1">
        <v>28</v>
      </c>
      <c r="B197" s="1">
        <f t="shared" si="6"/>
        <v>134.64945115813248</v>
      </c>
      <c r="C197" s="1">
        <f t="shared" si="7"/>
        <v>-134.64945115813248</v>
      </c>
    </row>
    <row r="198" spans="1:3" x14ac:dyDescent="0.3">
      <c r="A198" s="1">
        <v>29</v>
      </c>
      <c r="B198" s="1">
        <f t="shared" si="6"/>
        <v>134.44222257862242</v>
      </c>
      <c r="C198" s="1">
        <f t="shared" si="7"/>
        <v>-134.44222257862242</v>
      </c>
    </row>
    <row r="199" spans="1:3" x14ac:dyDescent="0.3">
      <c r="A199" s="1">
        <v>30</v>
      </c>
      <c r="B199" s="1">
        <f t="shared" si="6"/>
        <v>134.22772380180683</v>
      </c>
      <c r="C199" s="1">
        <f t="shared" si="7"/>
        <v>-134.22772380180683</v>
      </c>
    </row>
    <row r="200" spans="1:3" x14ac:dyDescent="0.3">
      <c r="A200" s="1">
        <v>31</v>
      </c>
      <c r="B200" s="1">
        <f t="shared" si="6"/>
        <v>134.00595458852882</v>
      </c>
      <c r="C200" s="1">
        <f t="shared" si="7"/>
        <v>-134.00595458852882</v>
      </c>
    </row>
    <row r="201" spans="1:3" x14ac:dyDescent="0.3">
      <c r="A201" s="1">
        <v>32</v>
      </c>
      <c r="B201" s="1">
        <f t="shared" si="6"/>
        <v>133.7769146316034</v>
      </c>
      <c r="C201" s="1">
        <f t="shared" si="7"/>
        <v>-133.7769146316034</v>
      </c>
    </row>
    <row r="202" spans="1:3" x14ac:dyDescent="0.3">
      <c r="A202" s="1">
        <v>33</v>
      </c>
      <c r="B202" s="1">
        <f t="shared" si="6"/>
        <v>133.54060354929439</v>
      </c>
      <c r="C202" s="1">
        <f t="shared" si="7"/>
        <v>-133.54060354929439</v>
      </c>
    </row>
    <row r="203" spans="1:3" x14ac:dyDescent="0.3">
      <c r="A203" s="1">
        <v>34</v>
      </c>
      <c r="B203" s="1">
        <f t="shared" si="6"/>
        <v>133.29702087848383</v>
      </c>
      <c r="C203" s="1">
        <f t="shared" si="7"/>
        <v>-133.29702087848383</v>
      </c>
    </row>
    <row r="204" spans="1:3" x14ac:dyDescent="0.3">
      <c r="A204" s="1">
        <v>35</v>
      </c>
      <c r="B204" s="1">
        <f t="shared" si="6"/>
        <v>133.04616606752367</v>
      </c>
      <c r="C204" s="1">
        <f t="shared" si="7"/>
        <v>-133.04616606752367</v>
      </c>
    </row>
    <row r="205" spans="1:3" x14ac:dyDescent="0.3">
      <c r="A205" s="1">
        <v>36</v>
      </c>
      <c r="B205" s="1">
        <f t="shared" si="6"/>
        <v>132.78803846875823</v>
      </c>
      <c r="C205" s="1">
        <f t="shared" si="7"/>
        <v>-132.78803846875823</v>
      </c>
    </row>
    <row r="206" spans="1:3" x14ac:dyDescent="0.3">
      <c r="A206" s="1">
        <v>37</v>
      </c>
      <c r="B206" s="1">
        <f t="shared" si="6"/>
        <v>132.52263733070566</v>
      </c>
      <c r="C206" s="1">
        <f t="shared" si="7"/>
        <v>-132.52263733070566</v>
      </c>
    </row>
    <row r="207" spans="1:3" x14ac:dyDescent="0.3">
      <c r="A207" s="1">
        <v>38</v>
      </c>
      <c r="B207" s="1">
        <f t="shared" si="6"/>
        <v>132.24996178988624</v>
      </c>
      <c r="C207" s="1">
        <f t="shared" si="7"/>
        <v>-132.24996178988624</v>
      </c>
    </row>
    <row r="208" spans="1:3" x14ac:dyDescent="0.3">
      <c r="A208" s="1">
        <v>39</v>
      </c>
      <c r="B208" s="1">
        <f t="shared" si="6"/>
        <v>131.97001086228366</v>
      </c>
      <c r="C208" s="1">
        <f t="shared" si="7"/>
        <v>-131.97001086228366</v>
      </c>
    </row>
    <row r="209" spans="1:3" x14ac:dyDescent="0.3">
      <c r="A209" s="1">
        <v>40</v>
      </c>
      <c r="B209" s="1">
        <f t="shared" si="6"/>
        <v>131.68278343442572</v>
      </c>
      <c r="C209" s="1">
        <f t="shared" si="7"/>
        <v>-131.68278343442572</v>
      </c>
    </row>
    <row r="210" spans="1:3" x14ac:dyDescent="0.3">
      <c r="A210" s="1">
        <v>41</v>
      </c>
      <c r="B210" s="1">
        <f t="shared" si="6"/>
        <v>131.38827825406975</v>
      </c>
      <c r="C210" s="1">
        <f t="shared" si="7"/>
        <v>-131.38827825406975</v>
      </c>
    </row>
    <row r="211" spans="1:3" x14ac:dyDescent="0.3">
      <c r="A211" s="1">
        <v>42</v>
      </c>
      <c r="B211" s="1">
        <f t="shared" si="6"/>
        <v>131.08649392047673</v>
      </c>
      <c r="C211" s="1">
        <f t="shared" si="7"/>
        <v>-131.08649392047673</v>
      </c>
    </row>
    <row r="212" spans="1:3" x14ac:dyDescent="0.3">
      <c r="A212" s="1">
        <v>43</v>
      </c>
      <c r="B212" s="1">
        <f t="shared" si="6"/>
        <v>130.77742887425796</v>
      </c>
      <c r="C212" s="1">
        <f t="shared" si="7"/>
        <v>-130.77742887425796</v>
      </c>
    </row>
    <row r="213" spans="1:3" x14ac:dyDescent="0.3">
      <c r="A213" s="1">
        <v>44</v>
      </c>
      <c r="B213" s="1">
        <f t="shared" si="6"/>
        <v>130.46108138677661</v>
      </c>
      <c r="C213" s="1">
        <f t="shared" si="7"/>
        <v>-130.46108138677661</v>
      </c>
    </row>
    <row r="214" spans="1:3" x14ac:dyDescent="0.3">
      <c r="A214" s="1">
        <v>45</v>
      </c>
      <c r="B214" s="1">
        <f t="shared" si="6"/>
        <v>130.1374495490858</v>
      </c>
      <c r="C214" s="1">
        <f t="shared" si="7"/>
        <v>-130.1374495490858</v>
      </c>
    </row>
    <row r="215" spans="1:3" x14ac:dyDescent="0.3">
      <c r="A215" s="1">
        <v>46</v>
      </c>
      <c r="B215" s="1">
        <f t="shared" si="6"/>
        <v>129.80653126038342</v>
      </c>
      <c r="C215" s="1">
        <f t="shared" si="7"/>
        <v>-129.80653126038342</v>
      </c>
    </row>
    <row r="216" spans="1:3" x14ac:dyDescent="0.3">
      <c r="A216" s="1">
        <v>47</v>
      </c>
      <c r="B216" s="1">
        <f t="shared" si="6"/>
        <v>129.46832421596358</v>
      </c>
      <c r="C216" s="1">
        <f t="shared" si="7"/>
        <v>-129.46832421596358</v>
      </c>
    </row>
    <row r="217" spans="1:3" x14ac:dyDescent="0.3">
      <c r="A217" s="1">
        <v>48</v>
      </c>
      <c r="B217" s="1">
        <f t="shared" si="6"/>
        <v>129.12282589464209</v>
      </c>
      <c r="C217" s="1">
        <f t="shared" si="7"/>
        <v>-129.12282589464209</v>
      </c>
    </row>
    <row r="218" spans="1:3" x14ac:dyDescent="0.3">
      <c r="A218" s="1">
        <v>49</v>
      </c>
      <c r="B218" s="1">
        <f t="shared" si="6"/>
        <v>128.77003354563357</v>
      </c>
      <c r="C218" s="1">
        <f t="shared" si="7"/>
        <v>-128.77003354563357</v>
      </c>
    </row>
    <row r="219" spans="1:3" x14ac:dyDescent="0.3">
      <c r="A219" s="1">
        <v>50</v>
      </c>
      <c r="B219" s="1">
        <f t="shared" si="6"/>
        <v>128.40994417485504</v>
      </c>
      <c r="C219" s="1">
        <f t="shared" si="7"/>
        <v>-128.40994417485504</v>
      </c>
    </row>
    <row r="220" spans="1:3" x14ac:dyDescent="0.3">
      <c r="A220" s="1">
        <v>51</v>
      </c>
      <c r="B220" s="1">
        <f t="shared" si="6"/>
        <v>128.04255453063075</v>
      </c>
      <c r="C220" s="1">
        <f t="shared" si="7"/>
        <v>-128.04255453063075</v>
      </c>
    </row>
    <row r="221" spans="1:3" x14ac:dyDescent="0.3">
      <c r="A221" s="1">
        <v>52</v>
      </c>
      <c r="B221" s="1">
        <f t="shared" si="6"/>
        <v>127.66786108877018</v>
      </c>
      <c r="C221" s="1">
        <f t="shared" si="7"/>
        <v>-127.66786108877018</v>
      </c>
    </row>
    <row r="222" spans="1:3" x14ac:dyDescent="0.3">
      <c r="A222" s="1">
        <v>53</v>
      </c>
      <c r="B222" s="1">
        <f t="shared" si="6"/>
        <v>127.28586003699034</v>
      </c>
      <c r="C222" s="1">
        <f t="shared" si="7"/>
        <v>-127.28586003699034</v>
      </c>
    </row>
    <row r="223" spans="1:3" x14ac:dyDescent="0.3">
      <c r="A223" s="1">
        <v>54</v>
      </c>
      <c r="B223" s="1">
        <f t="shared" si="6"/>
        <v>126.89654725865185</v>
      </c>
      <c r="C223" s="1">
        <f t="shared" si="7"/>
        <v>-126.89654725865185</v>
      </c>
    </row>
    <row r="224" spans="1:3" x14ac:dyDescent="0.3">
      <c r="A224" s="1">
        <v>55</v>
      </c>
      <c r="B224" s="1">
        <f t="shared" si="6"/>
        <v>126.49991831577549</v>
      </c>
      <c r="C224" s="1">
        <f t="shared" si="7"/>
        <v>-126.49991831577549</v>
      </c>
    </row>
    <row r="225" spans="1:3" x14ac:dyDescent="0.3">
      <c r="A225" s="1">
        <v>56</v>
      </c>
      <c r="B225" s="1">
        <f t="shared" si="6"/>
        <v>126.09596843130527</v>
      </c>
      <c r="C225" s="1">
        <f t="shared" si="7"/>
        <v>-126.09596843130527</v>
      </c>
    </row>
    <row r="226" spans="1:3" x14ac:dyDescent="0.3">
      <c r="A226" s="1">
        <v>57</v>
      </c>
      <c r="B226" s="1">
        <f t="shared" si="6"/>
        <v>125.68469247058056</v>
      </c>
      <c r="C226" s="1">
        <f t="shared" si="7"/>
        <v>-125.68469247058056</v>
      </c>
    </row>
    <row r="227" spans="1:3" x14ac:dyDescent="0.3">
      <c r="A227" s="1">
        <v>58</v>
      </c>
      <c r="B227" s="1">
        <f t="shared" si="6"/>
        <v>125.26608492197875</v>
      </c>
      <c r="C227" s="1">
        <f t="shared" si="7"/>
        <v>-125.26608492197875</v>
      </c>
    </row>
    <row r="228" spans="1:3" x14ac:dyDescent="0.3">
      <c r="A228" s="1">
        <v>59</v>
      </c>
      <c r="B228" s="1">
        <f t="shared" si="6"/>
        <v>124.84013987668665</v>
      </c>
      <c r="C228" s="1">
        <f t="shared" si="7"/>
        <v>-124.84013987668665</v>
      </c>
    </row>
    <row r="229" spans="1:3" x14ac:dyDescent="0.3">
      <c r="A229" s="1">
        <v>60</v>
      </c>
      <c r="B229" s="1">
        <f t="shared" si="6"/>
        <v>124.40685100755695</v>
      </c>
      <c r="C229" s="1">
        <f t="shared" si="7"/>
        <v>-124.40685100755695</v>
      </c>
    </row>
    <row r="230" spans="1:3" x14ac:dyDescent="0.3">
      <c r="A230" s="1">
        <v>61</v>
      </c>
      <c r="B230" s="1">
        <f t="shared" si="6"/>
        <v>123.9662115470024</v>
      </c>
      <c r="C230" s="1">
        <f t="shared" si="7"/>
        <v>-123.9662115470024</v>
      </c>
    </row>
    <row r="231" spans="1:3" x14ac:dyDescent="0.3">
      <c r="A231" s="1">
        <v>62</v>
      </c>
      <c r="B231" s="1">
        <f t="shared" si="6"/>
        <v>123.51821426387851</v>
      </c>
      <c r="C231" s="1">
        <f t="shared" si="7"/>
        <v>-123.51821426387851</v>
      </c>
    </row>
    <row r="232" spans="1:3" x14ac:dyDescent="0.3">
      <c r="A232" s="1">
        <v>63</v>
      </c>
      <c r="B232" s="1">
        <f t="shared" si="6"/>
        <v>123.06285143930137</v>
      </c>
      <c r="C232" s="1">
        <f t="shared" si="7"/>
        <v>-123.06285143930137</v>
      </c>
    </row>
    <row r="233" spans="1:3" x14ac:dyDescent="0.3">
      <c r="A233" s="1">
        <v>64</v>
      </c>
      <c r="B233" s="1">
        <f t="shared" si="6"/>
        <v>122.60011484134459</v>
      </c>
      <c r="C233" s="1">
        <f t="shared" si="7"/>
        <v>-122.60011484134459</v>
      </c>
    </row>
    <row r="234" spans="1:3" x14ac:dyDescent="0.3">
      <c r="A234" s="1">
        <v>65</v>
      </c>
      <c r="B234" s="1">
        <f t="shared" si="6"/>
        <v>122.12999569855495</v>
      </c>
      <c r="C234" s="1">
        <f t="shared" si="7"/>
        <v>-122.12999569855495</v>
      </c>
    </row>
    <row r="235" spans="1:3" x14ac:dyDescent="0.3">
      <c r="A235" s="1">
        <v>66</v>
      </c>
      <c r="B235" s="1">
        <f t="shared" si="6"/>
        <v>121.65248467222315</v>
      </c>
      <c r="C235" s="1">
        <f t="shared" si="7"/>
        <v>-121.65248467222315</v>
      </c>
    </row>
    <row r="236" spans="1:3" x14ac:dyDescent="0.3">
      <c r="A236" s="1">
        <v>67</v>
      </c>
      <c r="B236" s="1">
        <f t="shared" si="6"/>
        <v>121.16757182734131</v>
      </c>
      <c r="C236" s="1">
        <f t="shared" si="7"/>
        <v>-121.16757182734131</v>
      </c>
    </row>
    <row r="237" spans="1:3" x14ac:dyDescent="0.3">
      <c r="A237" s="1">
        <v>68</v>
      </c>
      <c r="B237" s="1">
        <f t="shared" si="6"/>
        <v>120.67524660217448</v>
      </c>
      <c r="C237" s="1">
        <f t="shared" si="7"/>
        <v>-120.67524660217448</v>
      </c>
    </row>
    <row r="238" spans="1:3" x14ac:dyDescent="0.3">
      <c r="A238" s="1">
        <v>69</v>
      </c>
      <c r="B238" s="1">
        <f t="shared" si="6"/>
        <v>120.17549777636864</v>
      </c>
      <c r="C238" s="1">
        <f t="shared" si="7"/>
        <v>-120.17549777636864</v>
      </c>
    </row>
    <row r="239" spans="1:3" x14ac:dyDescent="0.3">
      <c r="A239" s="1">
        <v>70</v>
      </c>
      <c r="B239" s="1">
        <f t="shared" si="6"/>
        <v>119.66831343751217</v>
      </c>
      <c r="C239" s="1">
        <f t="shared" si="7"/>
        <v>-119.66831343751217</v>
      </c>
    </row>
    <row r="240" spans="1:3" x14ac:dyDescent="0.3">
      <c r="A240" s="1">
        <v>71</v>
      </c>
      <c r="B240" s="1">
        <f t="shared" si="6"/>
        <v>119.15368094606224</v>
      </c>
      <c r="C240" s="1">
        <f t="shared" si="7"/>
        <v>-119.15368094606224</v>
      </c>
    </row>
    <row r="241" spans="1:3" x14ac:dyDescent="0.3">
      <c r="A241" s="1">
        <v>72</v>
      </c>
      <c r="B241" s="1">
        <f t="shared" si="6"/>
        <v>118.63158689854156</v>
      </c>
      <c r="C241" s="1">
        <f t="shared" si="7"/>
        <v>-118.63158689854156</v>
      </c>
    </row>
    <row r="242" spans="1:3" x14ac:dyDescent="0.3">
      <c r="A242" s="1">
        <v>73</v>
      </c>
      <c r="B242" s="1">
        <f t="shared" si="6"/>
        <v>118.10201708890382</v>
      </c>
      <c r="C242" s="1">
        <f t="shared" si="7"/>
        <v>-118.10201708890382</v>
      </c>
    </row>
    <row r="243" spans="1:3" x14ac:dyDescent="0.3">
      <c r="A243" s="1">
        <v>74</v>
      </c>
      <c r="B243" s="1">
        <f t="shared" si="6"/>
        <v>117.56495646795972</v>
      </c>
      <c r="C243" s="1">
        <f t="shared" si="7"/>
        <v>-117.56495646795972</v>
      </c>
    </row>
    <row r="244" spans="1:3" x14ac:dyDescent="0.3">
      <c r="A244" s="1">
        <v>75</v>
      </c>
      <c r="B244" s="1">
        <f t="shared" si="6"/>
        <v>117.02038910074691</v>
      </c>
      <c r="C244" s="1">
        <f t="shared" si="7"/>
        <v>-117.02038910074691</v>
      </c>
    </row>
    <row r="245" spans="1:3" x14ac:dyDescent="0.3">
      <c r="A245" s="1">
        <v>76</v>
      </c>
      <c r="B245" s="1">
        <f t="shared" si="6"/>
        <v>116.46829812171967</v>
      </c>
      <c r="C245" s="1">
        <f t="shared" si="7"/>
        <v>-116.46829812171967</v>
      </c>
    </row>
    <row r="246" spans="1:3" x14ac:dyDescent="0.3">
      <c r="A246" s="1">
        <v>77</v>
      </c>
      <c r="B246" s="1">
        <f t="shared" si="6"/>
        <v>115.90866568762436</v>
      </c>
      <c r="C246" s="1">
        <f t="shared" si="7"/>
        <v>-115.90866568762436</v>
      </c>
    </row>
    <row r="247" spans="1:3" x14ac:dyDescent="0.3">
      <c r="A247" s="1">
        <v>78</v>
      </c>
      <c r="B247" s="1">
        <f t="shared" si="6"/>
        <v>115.34147292791698</v>
      </c>
      <c r="C247" s="1">
        <f t="shared" si="7"/>
        <v>-115.34147292791698</v>
      </c>
    </row>
    <row r="248" spans="1:3" x14ac:dyDescent="0.3">
      <c r="A248" s="1">
        <v>79</v>
      </c>
      <c r="B248" s="1">
        <f t="shared" si="6"/>
        <v>114.76669989256909</v>
      </c>
      <c r="C248" s="1">
        <f t="shared" si="7"/>
        <v>-114.76669989256909</v>
      </c>
    </row>
    <row r="249" spans="1:3" x14ac:dyDescent="0.3">
      <c r="A249" s="1">
        <v>80</v>
      </c>
      <c r="B249" s="1">
        <f t="shared" si="6"/>
        <v>114.18432549709576</v>
      </c>
      <c r="C249" s="1">
        <f t="shared" si="7"/>
        <v>-114.18432549709576</v>
      </c>
    </row>
    <row r="250" spans="1:3" x14ac:dyDescent="0.3">
      <c r="A250" s="1">
        <v>81</v>
      </c>
      <c r="B250" s="1">
        <f t="shared" si="6"/>
        <v>113.59432746462743</v>
      </c>
      <c r="C250" s="1">
        <f t="shared" si="7"/>
        <v>-113.59432746462743</v>
      </c>
    </row>
    <row r="251" spans="1:3" x14ac:dyDescent="0.3">
      <c r="A251" s="1">
        <v>82</v>
      </c>
      <c r="B251" s="1">
        <f t="shared" si="6"/>
        <v>112.99668226483341</v>
      </c>
      <c r="C251" s="1">
        <f t="shared" si="7"/>
        <v>-112.99668226483341</v>
      </c>
    </row>
    <row r="252" spans="1:3" x14ac:dyDescent="0.3">
      <c r="A252" s="1">
        <v>83</v>
      </c>
      <c r="B252" s="1">
        <f t="shared" si="6"/>
        <v>112.39136504949008</v>
      </c>
      <c r="C252" s="1">
        <f t="shared" si="7"/>
        <v>-112.39136504949008</v>
      </c>
    </row>
    <row r="253" spans="1:3" x14ac:dyDescent="0.3">
      <c r="A253" s="1">
        <v>84</v>
      </c>
      <c r="B253" s="1">
        <f t="shared" si="6"/>
        <v>111.77834958447004</v>
      </c>
      <c r="C253" s="1">
        <f t="shared" si="7"/>
        <v>-111.77834958447004</v>
      </c>
    </row>
    <row r="254" spans="1:3" x14ac:dyDescent="0.3">
      <c r="A254" s="1">
        <v>85</v>
      </c>
      <c r="B254" s="1">
        <f t="shared" si="6"/>
        <v>111.15760817791161</v>
      </c>
      <c r="C254" s="1">
        <f t="shared" si="7"/>
        <v>-111.15760817791161</v>
      </c>
    </row>
    <row r="255" spans="1:3" x14ac:dyDescent="0.3">
      <c r="A255" s="1">
        <v>86</v>
      </c>
      <c r="B255" s="1">
        <f t="shared" si="6"/>
        <v>110.52911160430752</v>
      </c>
      <c r="C255" s="1">
        <f t="shared" si="7"/>
        <v>-110.52911160430752</v>
      </c>
    </row>
    <row r="256" spans="1:3" x14ac:dyDescent="0.3">
      <c r="A256" s="1">
        <v>87</v>
      </c>
      <c r="B256" s="1">
        <f t="shared" si="6"/>
        <v>109.89282902423129</v>
      </c>
      <c r="C256" s="1">
        <f t="shared" si="7"/>
        <v>-109.89282902423129</v>
      </c>
    </row>
    <row r="257" spans="1:3" x14ac:dyDescent="0.3">
      <c r="A257" s="1">
        <v>88</v>
      </c>
      <c r="B257" s="1">
        <f t="shared" si="6"/>
        <v>109.24872789939634</v>
      </c>
      <c r="C257" s="1">
        <f t="shared" si="7"/>
        <v>-109.24872789939634</v>
      </c>
    </row>
    <row r="258" spans="1:3" x14ac:dyDescent="0.3">
      <c r="A258" s="1">
        <v>89</v>
      </c>
      <c r="B258" s="1">
        <f t="shared" si="6"/>
        <v>108.59677390271672</v>
      </c>
      <c r="C258" s="1">
        <f t="shared" si="7"/>
        <v>-108.59677390271672</v>
      </c>
    </row>
    <row r="259" spans="1:3" x14ac:dyDescent="0.3">
      <c r="A259" s="1">
        <v>90</v>
      </c>
      <c r="B259" s="1">
        <f t="shared" ref="B259:B322" si="8">SQRT(137.5^2-157.5^2*SIN(A259/157.5)^2)</f>
        <v>107.93693082301172</v>
      </c>
      <c r="C259" s="1">
        <f t="shared" ref="C259:C322" si="9">-SQRT(137.5^2-157.5^2*SIN(A259/157.5)^2)</f>
        <v>-107.93693082301172</v>
      </c>
    </row>
    <row r="260" spans="1:3" x14ac:dyDescent="0.3">
      <c r="A260" s="1">
        <v>91</v>
      </c>
      <c r="B260" s="1">
        <f t="shared" si="8"/>
        <v>107.26916046396457</v>
      </c>
      <c r="C260" s="1">
        <f t="shared" si="9"/>
        <v>-107.26916046396457</v>
      </c>
    </row>
    <row r="261" spans="1:3" x14ac:dyDescent="0.3">
      <c r="A261" s="1">
        <v>92</v>
      </c>
      <c r="B261" s="1">
        <f t="shared" si="8"/>
        <v>106.59342253691233</v>
      </c>
      <c r="C261" s="1">
        <f t="shared" si="9"/>
        <v>-106.59342253691233</v>
      </c>
    </row>
    <row r="262" spans="1:3" x14ac:dyDescent="0.3">
      <c r="A262" s="1">
        <v>93</v>
      </c>
      <c r="B262" s="1">
        <f t="shared" si="8"/>
        <v>105.90967454700736</v>
      </c>
      <c r="C262" s="1">
        <f t="shared" si="9"/>
        <v>-105.90967454700736</v>
      </c>
    </row>
    <row r="263" spans="1:3" x14ac:dyDescent="0.3">
      <c r="A263" s="1">
        <v>94</v>
      </c>
      <c r="B263" s="1">
        <f t="shared" si="8"/>
        <v>105.21787167224841</v>
      </c>
      <c r="C263" s="1">
        <f t="shared" si="9"/>
        <v>-105.21787167224841</v>
      </c>
    </row>
    <row r="264" spans="1:3" x14ac:dyDescent="0.3">
      <c r="A264" s="1">
        <v>95</v>
      </c>
      <c r="B264" s="1">
        <f t="shared" si="8"/>
        <v>104.51796663483584</v>
      </c>
      <c r="C264" s="1">
        <f t="shared" si="9"/>
        <v>-104.51796663483584</v>
      </c>
    </row>
    <row r="265" spans="1:3" x14ac:dyDescent="0.3">
      <c r="A265" s="1">
        <v>96</v>
      </c>
      <c r="B265" s="1">
        <f t="shared" si="8"/>
        <v>103.80990956425403</v>
      </c>
      <c r="C265" s="1">
        <f t="shared" si="9"/>
        <v>-103.80990956425403</v>
      </c>
    </row>
    <row r="266" spans="1:3" x14ac:dyDescent="0.3">
      <c r="A266" s="1">
        <v>97</v>
      </c>
      <c r="B266" s="1">
        <f t="shared" si="8"/>
        <v>103.09364785142994</v>
      </c>
      <c r="C266" s="1">
        <f t="shared" si="9"/>
        <v>-103.09364785142994</v>
      </c>
    </row>
    <row r="267" spans="1:3" x14ac:dyDescent="0.3">
      <c r="A267" s="1">
        <v>98</v>
      </c>
      <c r="B267" s="1">
        <f t="shared" si="8"/>
        <v>102.36912599325444</v>
      </c>
      <c r="C267" s="1">
        <f t="shared" si="9"/>
        <v>-102.36912599325444</v>
      </c>
    </row>
    <row r="268" spans="1:3" x14ac:dyDescent="0.3">
      <c r="A268" s="1">
        <v>99</v>
      </c>
      <c r="B268" s="1">
        <f t="shared" si="8"/>
        <v>101.63628542668603</v>
      </c>
      <c r="C268" s="1">
        <f t="shared" si="9"/>
        <v>-101.63628542668603</v>
      </c>
    </row>
    <row r="269" spans="1:3" x14ac:dyDescent="0.3">
      <c r="A269" s="1">
        <v>100</v>
      </c>
      <c r="B269" s="1">
        <f t="shared" si="8"/>
        <v>100.89506435158013</v>
      </c>
      <c r="C269" s="1">
        <f t="shared" si="9"/>
        <v>-100.89506435158013</v>
      </c>
    </row>
    <row r="270" spans="1:3" x14ac:dyDescent="0.3">
      <c r="A270" s="1">
        <v>101</v>
      </c>
      <c r="B270" s="1">
        <f t="shared" si="8"/>
        <v>100.14539754130368</v>
      </c>
      <c r="C270" s="1">
        <f t="shared" si="9"/>
        <v>-100.14539754130368</v>
      </c>
    </row>
    <row r="271" spans="1:3" x14ac:dyDescent="0.3">
      <c r="A271" s="1">
        <v>102</v>
      </c>
      <c r="B271" s="1">
        <f t="shared" si="8"/>
        <v>99.387216140100918</v>
      </c>
      <c r="C271" s="1">
        <f t="shared" si="9"/>
        <v>-99.387216140100918</v>
      </c>
    </row>
    <row r="272" spans="1:3" x14ac:dyDescent="0.3">
      <c r="A272" s="1">
        <v>103</v>
      </c>
      <c r="B272" s="1">
        <f t="shared" si="8"/>
        <v>98.620447446071054</v>
      </c>
      <c r="C272" s="1">
        <f t="shared" si="9"/>
        <v>-98.620447446071054</v>
      </c>
    </row>
    <row r="273" spans="1:3" x14ac:dyDescent="0.3">
      <c r="A273" s="1">
        <v>104</v>
      </c>
      <c r="B273" s="1">
        <f t="shared" si="8"/>
        <v>97.84501467850238</v>
      </c>
      <c r="C273" s="1">
        <f t="shared" si="9"/>
        <v>-97.84501467850238</v>
      </c>
    </row>
    <row r="274" spans="1:3" x14ac:dyDescent="0.3">
      <c r="A274" s="1">
        <v>105</v>
      </c>
      <c r="B274" s="1">
        <f t="shared" si="8"/>
        <v>97.060836728176</v>
      </c>
      <c r="C274" s="1">
        <f t="shared" si="9"/>
        <v>-97.060836728176</v>
      </c>
    </row>
    <row r="275" spans="1:3" x14ac:dyDescent="0.3">
      <c r="A275" s="1">
        <v>106</v>
      </c>
      <c r="B275" s="1">
        <f t="shared" si="8"/>
        <v>96.267827889104723</v>
      </c>
      <c r="C275" s="1">
        <f t="shared" si="9"/>
        <v>-96.267827889104723</v>
      </c>
    </row>
    <row r="276" spans="1:3" x14ac:dyDescent="0.3">
      <c r="A276" s="1">
        <v>107</v>
      </c>
      <c r="B276" s="1">
        <f t="shared" si="8"/>
        <v>95.465897570008636</v>
      </c>
      <c r="C276" s="1">
        <f t="shared" si="9"/>
        <v>-95.465897570008636</v>
      </c>
    </row>
    <row r="277" spans="1:3" x14ac:dyDescent="0.3">
      <c r="A277" s="1">
        <v>108</v>
      </c>
      <c r="B277" s="1">
        <f t="shared" si="8"/>
        <v>94.654949983641686</v>
      </c>
      <c r="C277" s="1">
        <f t="shared" si="9"/>
        <v>-94.654949983641686</v>
      </c>
    </row>
    <row r="278" spans="1:3" x14ac:dyDescent="0.3">
      <c r="A278" s="1">
        <v>109</v>
      </c>
      <c r="B278" s="1">
        <f t="shared" si="8"/>
        <v>93.834883811874548</v>
      </c>
      <c r="C278" s="1">
        <f t="shared" si="9"/>
        <v>-93.834883811874548</v>
      </c>
    </row>
    <row r="279" spans="1:3" x14ac:dyDescent="0.3">
      <c r="A279" s="1">
        <v>110</v>
      </c>
      <c r="B279" s="1">
        <f t="shared" si="8"/>
        <v>93.005591844201106</v>
      </c>
      <c r="C279" s="1">
        <f t="shared" si="9"/>
        <v>-93.005591844201106</v>
      </c>
    </row>
    <row r="280" spans="1:3" x14ac:dyDescent="0.3">
      <c r="A280" s="1">
        <v>111</v>
      </c>
      <c r="B280" s="1">
        <f t="shared" si="8"/>
        <v>92.166960587067805</v>
      </c>
      <c r="C280" s="1">
        <f t="shared" si="9"/>
        <v>-92.166960587067805</v>
      </c>
    </row>
    <row r="281" spans="1:3" x14ac:dyDescent="0.3">
      <c r="A281" s="1">
        <v>112</v>
      </c>
      <c r="B281" s="1">
        <f t="shared" si="8"/>
        <v>91.318869841119891</v>
      </c>
      <c r="C281" s="1">
        <f t="shared" si="9"/>
        <v>-91.318869841119891</v>
      </c>
    </row>
    <row r="282" spans="1:3" x14ac:dyDescent="0.3">
      <c r="A282" s="1">
        <v>113</v>
      </c>
      <c r="B282" s="1">
        <f t="shared" si="8"/>
        <v>90.461192243111412</v>
      </c>
      <c r="C282" s="1">
        <f t="shared" si="9"/>
        <v>-90.461192243111412</v>
      </c>
    </row>
    <row r="283" spans="1:3" x14ac:dyDescent="0.3">
      <c r="A283" s="1">
        <v>114</v>
      </c>
      <c r="B283" s="1">
        <f t="shared" si="8"/>
        <v>89.593792768831122</v>
      </c>
      <c r="C283" s="1">
        <f t="shared" si="9"/>
        <v>-89.593792768831122</v>
      </c>
    </row>
    <row r="284" spans="1:3" x14ac:dyDescent="0.3">
      <c r="A284" s="1">
        <v>115</v>
      </c>
      <c r="B284" s="1">
        <f t="shared" si="8"/>
        <v>88.716528192944338</v>
      </c>
      <c r="C284" s="1">
        <f t="shared" si="9"/>
        <v>-88.716528192944338</v>
      </c>
    </row>
    <row r="285" spans="1:3" x14ac:dyDescent="0.3">
      <c r="A285" s="1">
        <v>116</v>
      </c>
      <c r="B285" s="1">
        <f t="shared" si="8"/>
        <v>87.829246501133113</v>
      </c>
      <c r="C285" s="1">
        <f t="shared" si="9"/>
        <v>-87.829246501133113</v>
      </c>
    </row>
    <row r="286" spans="1:3" x14ac:dyDescent="0.3">
      <c r="A286" s="1">
        <v>117</v>
      </c>
      <c r="B286" s="1">
        <f t="shared" si="8"/>
        <v>86.931786249323849</v>
      </c>
      <c r="C286" s="1">
        <f t="shared" si="9"/>
        <v>-86.931786249323849</v>
      </c>
    </row>
    <row r="287" spans="1:3" x14ac:dyDescent="0.3">
      <c r="A287" s="1">
        <v>118</v>
      </c>
      <c r="B287" s="1">
        <f t="shared" si="8"/>
        <v>86.023975864107015</v>
      </c>
      <c r="C287" s="1">
        <f t="shared" si="9"/>
        <v>-86.023975864107015</v>
      </c>
    </row>
    <row r="288" spans="1:3" x14ac:dyDescent="0.3">
      <c r="A288" s="1">
        <v>119</v>
      </c>
      <c r="B288" s="1">
        <f t="shared" si="8"/>
        <v>85.105632877664803</v>
      </c>
      <c r="C288" s="1">
        <f t="shared" si="9"/>
        <v>-85.105632877664803</v>
      </c>
    </row>
    <row r="289" spans="1:3" x14ac:dyDescent="0.3">
      <c r="A289" s="1">
        <v>120</v>
      </c>
      <c r="B289" s="1">
        <f t="shared" si="8"/>
        <v>84.176563089609772</v>
      </c>
      <c r="C289" s="1">
        <f t="shared" si="9"/>
        <v>-84.176563089609772</v>
      </c>
    </row>
    <row r="290" spans="1:3" x14ac:dyDescent="0.3">
      <c r="A290" s="1">
        <v>121</v>
      </c>
      <c r="B290" s="1">
        <f t="shared" si="8"/>
        <v>83.23655964707622</v>
      </c>
      <c r="C290" s="1">
        <f t="shared" si="9"/>
        <v>-83.23655964707622</v>
      </c>
    </row>
    <row r="291" spans="1:3" x14ac:dyDescent="0.3">
      <c r="A291" s="1">
        <v>122</v>
      </c>
      <c r="B291" s="1">
        <f t="shared" si="8"/>
        <v>82.285402033173554</v>
      </c>
      <c r="C291" s="1">
        <f t="shared" si="9"/>
        <v>-82.285402033173554</v>
      </c>
    </row>
    <row r="292" spans="1:3" x14ac:dyDescent="0.3">
      <c r="A292" s="1">
        <v>123</v>
      </c>
      <c r="B292" s="1">
        <f t="shared" si="8"/>
        <v>81.322854952468376</v>
      </c>
      <c r="C292" s="1">
        <f t="shared" si="9"/>
        <v>-81.322854952468376</v>
      </c>
    </row>
    <row r="293" spans="1:3" x14ac:dyDescent="0.3">
      <c r="A293" s="1">
        <v>124</v>
      </c>
      <c r="B293" s="1">
        <f t="shared" si="8"/>
        <v>80.348667100474742</v>
      </c>
      <c r="C293" s="1">
        <f t="shared" si="9"/>
        <v>-80.348667100474742</v>
      </c>
    </row>
    <row r="294" spans="1:3" x14ac:dyDescent="0.3">
      <c r="A294" s="1">
        <v>125</v>
      </c>
      <c r="B294" s="1">
        <f t="shared" si="8"/>
        <v>79.362569802146254</v>
      </c>
      <c r="C294" s="1">
        <f t="shared" si="9"/>
        <v>-79.362569802146254</v>
      </c>
    </row>
    <row r="295" spans="1:3" x14ac:dyDescent="0.3">
      <c r="A295" s="1">
        <v>126</v>
      </c>
      <c r="B295" s="1">
        <f t="shared" si="8"/>
        <v>78.364275502022139</v>
      </c>
      <c r="C295" s="1">
        <f t="shared" si="9"/>
        <v>-78.364275502022139</v>
      </c>
    </row>
    <row r="296" spans="1:3" x14ac:dyDescent="0.3">
      <c r="A296" s="1">
        <v>127</v>
      </c>
      <c r="B296" s="1">
        <f t="shared" si="8"/>
        <v>77.353476085907047</v>
      </c>
      <c r="C296" s="1">
        <f t="shared" si="9"/>
        <v>-77.353476085907047</v>
      </c>
    </row>
    <row r="297" spans="1:3" x14ac:dyDescent="0.3">
      <c r="A297" s="1">
        <v>128</v>
      </c>
      <c r="B297" s="1">
        <f t="shared" si="8"/>
        <v>76.329841010666684</v>
      </c>
      <c r="C297" s="1">
        <f t="shared" si="9"/>
        <v>-76.329841010666684</v>
      </c>
    </row>
    <row r="298" spans="1:3" x14ac:dyDescent="0.3">
      <c r="A298" s="1">
        <v>129</v>
      </c>
      <c r="B298" s="1">
        <f t="shared" si="8"/>
        <v>75.293015214788412</v>
      </c>
      <c r="C298" s="1">
        <f t="shared" si="9"/>
        <v>-75.293015214788412</v>
      </c>
    </row>
    <row r="299" spans="1:3" x14ac:dyDescent="0.3">
      <c r="A299" s="1">
        <v>130</v>
      </c>
      <c r="B299" s="1">
        <f t="shared" si="8"/>
        <v>74.242616777638233</v>
      </c>
      <c r="C299" s="1">
        <f t="shared" si="9"/>
        <v>-74.242616777638233</v>
      </c>
    </row>
    <row r="300" spans="1:3" x14ac:dyDescent="0.3">
      <c r="A300" s="1">
        <v>131</v>
      </c>
      <c r="B300" s="1">
        <f t="shared" si="8"/>
        <v>73.178234289668211</v>
      </c>
      <c r="C300" s="1">
        <f t="shared" si="9"/>
        <v>-73.178234289668211</v>
      </c>
    </row>
    <row r="301" spans="1:3" x14ac:dyDescent="0.3">
      <c r="A301" s="1">
        <v>132</v>
      </c>
      <c r="B301" s="1">
        <f t="shared" si="8"/>
        <v>72.099423888958285</v>
      </c>
      <c r="C301" s="1">
        <f t="shared" si="9"/>
        <v>-72.099423888958285</v>
      </c>
    </row>
    <row r="302" spans="1:3" x14ac:dyDescent="0.3">
      <c r="A302" s="1">
        <v>133</v>
      </c>
      <c r="B302" s="1">
        <f t="shared" si="8"/>
        <v>71.005705911125517</v>
      </c>
      <c r="C302" s="1">
        <f t="shared" si="9"/>
        <v>-71.005705911125517</v>
      </c>
    </row>
    <row r="303" spans="1:3" x14ac:dyDescent="0.3">
      <c r="A303" s="1">
        <v>134</v>
      </c>
      <c r="B303" s="1">
        <f t="shared" si="8"/>
        <v>69.896561089427905</v>
      </c>
      <c r="C303" s="1">
        <f t="shared" si="9"/>
        <v>-69.896561089427905</v>
      </c>
    </row>
    <row r="304" spans="1:3" x14ac:dyDescent="0.3">
      <c r="A304" s="1">
        <v>135</v>
      </c>
      <c r="B304" s="1">
        <f t="shared" si="8"/>
        <v>68.771426229350041</v>
      </c>
      <c r="C304" s="1">
        <f t="shared" si="9"/>
        <v>-68.771426229350041</v>
      </c>
    </row>
    <row r="305" spans="1:3" x14ac:dyDescent="0.3">
      <c r="A305" s="1">
        <v>136</v>
      </c>
      <c r="B305" s="1">
        <f t="shared" si="8"/>
        <v>67.629689266457149</v>
      </c>
      <c r="C305" s="1">
        <f t="shared" si="9"/>
        <v>-67.629689266457149</v>
      </c>
    </row>
    <row r="306" spans="1:3" x14ac:dyDescent="0.3">
      <c r="A306" s="1">
        <v>137</v>
      </c>
      <c r="B306" s="1">
        <f t="shared" si="8"/>
        <v>66.470683597030046</v>
      </c>
      <c r="C306" s="1">
        <f t="shared" si="9"/>
        <v>-66.470683597030046</v>
      </c>
    </row>
    <row r="307" spans="1:3" x14ac:dyDescent="0.3">
      <c r="A307" s="1">
        <v>138</v>
      </c>
      <c r="B307" s="1">
        <f t="shared" si="8"/>
        <v>65.293681546866893</v>
      </c>
      <c r="C307" s="1">
        <f t="shared" si="9"/>
        <v>-65.293681546866893</v>
      </c>
    </row>
    <row r="308" spans="1:3" x14ac:dyDescent="0.3">
      <c r="A308" s="1">
        <v>139</v>
      </c>
      <c r="B308" s="1">
        <f t="shared" si="8"/>
        <v>64.097886813227674</v>
      </c>
      <c r="C308" s="1">
        <f t="shared" si="9"/>
        <v>-64.097886813227674</v>
      </c>
    </row>
    <row r="309" spans="1:3" x14ac:dyDescent="0.3">
      <c r="A309" s="1">
        <v>140</v>
      </c>
      <c r="B309" s="1">
        <f t="shared" si="8"/>
        <v>62.882425676286481</v>
      </c>
      <c r="C309" s="1">
        <f t="shared" si="9"/>
        <v>-62.882425676286481</v>
      </c>
    </row>
    <row r="310" spans="1:3" x14ac:dyDescent="0.3">
      <c r="A310" s="1">
        <v>141</v>
      </c>
      <c r="B310" s="1">
        <f t="shared" si="8"/>
        <v>61.646336727041806</v>
      </c>
      <c r="C310" s="1">
        <f t="shared" si="9"/>
        <v>-61.646336727041806</v>
      </c>
    </row>
    <row r="311" spans="1:3" x14ac:dyDescent="0.3">
      <c r="A311" s="1">
        <v>142</v>
      </c>
      <c r="B311" s="1">
        <f t="shared" si="8"/>
        <v>60.388558794864835</v>
      </c>
      <c r="C311" s="1">
        <f t="shared" si="9"/>
        <v>-60.388558794864835</v>
      </c>
    </row>
    <row r="312" spans="1:3" x14ac:dyDescent="0.3">
      <c r="A312" s="1">
        <v>143</v>
      </c>
      <c r="B312" s="1">
        <f t="shared" si="8"/>
        <v>59.107916674821169</v>
      </c>
      <c r="C312" s="1">
        <f t="shared" si="9"/>
        <v>-59.107916674821169</v>
      </c>
    </row>
    <row r="313" spans="1:3" x14ac:dyDescent="0.3">
      <c r="A313" s="1">
        <v>144</v>
      </c>
      <c r="B313" s="1">
        <f t="shared" si="8"/>
        <v>57.803104145709426</v>
      </c>
      <c r="C313" s="1">
        <f t="shared" si="9"/>
        <v>-57.803104145709426</v>
      </c>
    </row>
    <row r="314" spans="1:3" x14ac:dyDescent="0.3">
      <c r="A314" s="1">
        <v>145</v>
      </c>
      <c r="B314" s="1">
        <f t="shared" si="8"/>
        <v>56.472663624684088</v>
      </c>
      <c r="C314" s="1">
        <f t="shared" si="9"/>
        <v>-56.472663624684088</v>
      </c>
    </row>
    <row r="315" spans="1:3" x14ac:dyDescent="0.3">
      <c r="A315" s="1">
        <v>146</v>
      </c>
      <c r="B315" s="1">
        <f t="shared" si="8"/>
        <v>55.114961609399309</v>
      </c>
      <c r="C315" s="1">
        <f t="shared" si="9"/>
        <v>-55.114961609399309</v>
      </c>
    </row>
    <row r="316" spans="1:3" x14ac:dyDescent="0.3">
      <c r="A316" s="1">
        <v>147</v>
      </c>
      <c r="B316" s="1">
        <f t="shared" si="8"/>
        <v>53.728158793482727</v>
      </c>
      <c r="C316" s="1">
        <f t="shared" si="9"/>
        <v>-53.728158793482727</v>
      </c>
    </row>
    <row r="317" spans="1:3" x14ac:dyDescent="0.3">
      <c r="A317" s="1">
        <v>148</v>
      </c>
      <c r="B317" s="1">
        <f t="shared" si="8"/>
        <v>52.310173375738167</v>
      </c>
      <c r="C317" s="1">
        <f t="shared" si="9"/>
        <v>-52.310173375738167</v>
      </c>
    </row>
    <row r="318" spans="1:3" x14ac:dyDescent="0.3">
      <c r="A318" s="1">
        <v>149</v>
      </c>
      <c r="B318" s="1">
        <f t="shared" si="8"/>
        <v>50.858635572526865</v>
      </c>
      <c r="C318" s="1">
        <f t="shared" si="9"/>
        <v>-50.858635572526865</v>
      </c>
    </row>
    <row r="319" spans="1:3" x14ac:dyDescent="0.3">
      <c r="A319" s="1">
        <v>150</v>
      </c>
      <c r="B319" s="1">
        <f t="shared" si="8"/>
        <v>49.370830616913544</v>
      </c>
      <c r="C319" s="1">
        <f t="shared" si="9"/>
        <v>-49.370830616913544</v>
      </c>
    </row>
    <row r="320" spans="1:3" x14ac:dyDescent="0.3">
      <c r="A320" s="1">
        <v>151</v>
      </c>
      <c r="B320" s="1">
        <f t="shared" si="8"/>
        <v>47.84362647887513</v>
      </c>
      <c r="C320" s="1">
        <f t="shared" si="9"/>
        <v>-47.84362647887513</v>
      </c>
    </row>
    <row r="321" spans="1:17" x14ac:dyDescent="0.3">
      <c r="A321" s="1">
        <v>152</v>
      </c>
      <c r="B321" s="1">
        <f t="shared" si="8"/>
        <v>46.273380994513502</v>
      </c>
      <c r="C321" s="1">
        <f t="shared" si="9"/>
        <v>-46.273380994513502</v>
      </c>
    </row>
    <row r="322" spans="1:17" x14ac:dyDescent="0.3">
      <c r="A322" s="1">
        <v>153</v>
      </c>
      <c r="B322" s="1">
        <f t="shared" si="8"/>
        <v>44.655820763921867</v>
      </c>
      <c r="C322" s="1">
        <f t="shared" si="9"/>
        <v>-44.655820763921867</v>
      </c>
    </row>
    <row r="323" spans="1:17" x14ac:dyDescent="0.3">
      <c r="A323" s="1">
        <v>154</v>
      </c>
      <c r="B323" s="1">
        <f t="shared" ref="B323:B336" si="10">SQRT(137.5^2-157.5^2*SIN(A323/157.5)^2)</f>
        <v>42.985880586553627</v>
      </c>
      <c r="C323" s="1">
        <f t="shared" ref="C323:C336" si="11">-SQRT(137.5^2-157.5^2*SIN(A323/157.5)^2)</f>
        <v>-42.985880586553627</v>
      </c>
    </row>
    <row r="324" spans="1:17" x14ac:dyDescent="0.3">
      <c r="A324" s="1">
        <v>155</v>
      </c>
      <c r="B324" s="1">
        <f t="shared" si="10"/>
        <v>41.257486513058623</v>
      </c>
      <c r="C324" s="1">
        <f t="shared" si="11"/>
        <v>-41.257486513058623</v>
      </c>
    </row>
    <row r="325" spans="1:17" x14ac:dyDescent="0.3">
      <c r="A325" s="1">
        <v>156</v>
      </c>
      <c r="B325" s="1">
        <f t="shared" si="10"/>
        <v>39.463256294741541</v>
      </c>
      <c r="C325" s="1">
        <f t="shared" si="11"/>
        <v>-39.463256294741541</v>
      </c>
    </row>
    <row r="326" spans="1:17" x14ac:dyDescent="0.3">
      <c r="A326" s="1">
        <v>157</v>
      </c>
      <c r="B326" s="1">
        <f t="shared" si="10"/>
        <v>37.594075272103836</v>
      </c>
      <c r="C326" s="1">
        <f t="shared" si="11"/>
        <v>-37.594075272103836</v>
      </c>
    </row>
    <row r="327" spans="1:17" x14ac:dyDescent="0.3">
      <c r="A327" s="1">
        <v>158</v>
      </c>
      <c r="B327" s="1">
        <f t="shared" si="10"/>
        <v>35.63847798457617</v>
      </c>
      <c r="C327" s="1">
        <f t="shared" si="11"/>
        <v>-35.63847798457617</v>
      </c>
      <c r="Q327">
        <f>2*137</f>
        <v>274</v>
      </c>
    </row>
    <row r="328" spans="1:17" x14ac:dyDescent="0.3">
      <c r="A328" s="1">
        <v>159</v>
      </c>
      <c r="B328" s="1">
        <f t="shared" si="10"/>
        <v>33.581714409251383</v>
      </c>
      <c r="C328" s="1">
        <f t="shared" si="11"/>
        <v>-33.581714409251383</v>
      </c>
    </row>
    <row r="329" spans="1:17" x14ac:dyDescent="0.3">
      <c r="A329" s="1">
        <v>160</v>
      </c>
      <c r="B329" s="1">
        <f t="shared" si="10"/>
        <v>31.404279025742696</v>
      </c>
      <c r="C329" s="1">
        <f t="shared" si="11"/>
        <v>-31.404279025742696</v>
      </c>
    </row>
    <row r="330" spans="1:17" x14ac:dyDescent="0.3">
      <c r="A330" s="1">
        <v>161</v>
      </c>
      <c r="B330" s="1">
        <f t="shared" si="10"/>
        <v>29.079469139226951</v>
      </c>
      <c r="C330" s="1">
        <f t="shared" si="11"/>
        <v>-29.079469139226951</v>
      </c>
    </row>
    <row r="331" spans="1:17" x14ac:dyDescent="0.3">
      <c r="A331" s="1">
        <v>162</v>
      </c>
      <c r="B331" s="1">
        <f t="shared" si="10"/>
        <v>26.569052844883974</v>
      </c>
      <c r="C331" s="1">
        <f t="shared" si="11"/>
        <v>-26.569052844883974</v>
      </c>
    </row>
    <row r="332" spans="1:17" x14ac:dyDescent="0.3">
      <c r="A332" s="1">
        <v>163</v>
      </c>
      <c r="B332" s="1">
        <f t="shared" si="10"/>
        <v>23.814877671828768</v>
      </c>
      <c r="C332" s="1">
        <f t="shared" si="11"/>
        <v>-23.814877671828768</v>
      </c>
    </row>
    <row r="333" spans="1:17" x14ac:dyDescent="0.3">
      <c r="A333" s="1">
        <v>164</v>
      </c>
      <c r="B333" s="1">
        <f t="shared" si="10"/>
        <v>20.720506496455897</v>
      </c>
      <c r="C333" s="1">
        <f t="shared" si="11"/>
        <v>-20.720506496455897</v>
      </c>
    </row>
    <row r="334" spans="1:17" x14ac:dyDescent="0.3">
      <c r="A334" s="1">
        <v>165</v>
      </c>
      <c r="B334" s="1">
        <f t="shared" si="10"/>
        <v>17.102916805956031</v>
      </c>
      <c r="C334" s="1">
        <f t="shared" si="11"/>
        <v>-17.102916805956031</v>
      </c>
    </row>
    <row r="335" spans="1:17" x14ac:dyDescent="0.3">
      <c r="A335" s="1">
        <v>166</v>
      </c>
      <c r="B335" s="1">
        <f t="shared" si="10"/>
        <v>12.517251430212802</v>
      </c>
      <c r="C335" s="1">
        <f t="shared" si="11"/>
        <v>-12.517251430212802</v>
      </c>
    </row>
    <row r="336" spans="1:17" x14ac:dyDescent="0.3">
      <c r="A336" s="1">
        <v>167</v>
      </c>
      <c r="B336" s="1">
        <f t="shared" si="10"/>
        <v>4.6772589957931103</v>
      </c>
      <c r="C336" s="1">
        <f t="shared" si="11"/>
        <v>-4.6772589957931103</v>
      </c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Mond</vt:lpstr>
      <vt:lpstr>Cirkel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Arjen Gerritsen</dc:creator>
  <cp:lastModifiedBy>Arjen Gerritsen</cp:lastModifiedBy>
  <dcterms:created xsi:type="dcterms:W3CDTF">2026-08-02T13:50:55Z</dcterms:created>
  <dcterms:modified xsi:type="dcterms:W3CDTF">2026-08-29T18:21:47Z</dcterms:modified>
</cp:coreProperties>
</file>